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SCI 412\"/>
    </mc:Choice>
  </mc:AlternateContent>
  <xr:revisionPtr revIDLastSave="0" documentId="13_ncr:9_{A0768ACC-2404-4D65-A54B-F00139866716}" xr6:coauthVersionLast="47" xr6:coauthVersionMax="47" xr10:uidLastSave="{00000000-0000-0000-0000-000000000000}"/>
  <bookViews>
    <workbookView xWindow="-120" yWindow="-120" windowWidth="38640" windowHeight="21120" activeTab="1" xr2:uid="{6C6CACD0-A7C9-41B5-B1DC-58B2DF5F32F4}"/>
  </bookViews>
  <sheets>
    <sheet name="Sheet4" sheetId="5" r:id="rId1"/>
    <sheet name="Linux.W60.S30_mitre_summary" sheetId="1" r:id="rId2"/>
  </sheets>
  <definedNames>
    <definedName name="_xlcn.WorksheetConnection_Linux.W60.S30_mitre_summary.csvTable11" hidden="1">Table1[]</definedName>
  </definedNames>
  <calcPr calcId="0"/>
  <pivotCaches>
    <pivotCache cacheId="152" r:id="rId3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Linux.W60.S30_mitre_summary.csv!Table1"/>
        </x15:modelTables>
      </x15:dataModel>
    </ext>
  </extLst>
</workbook>
</file>

<file path=xl/calcChain.xml><?xml version="1.0" encoding="utf-8"?>
<calcChain xmlns="http://schemas.openxmlformats.org/spreadsheetml/2006/main">
  <c r="E111" i="1" l="1"/>
  <c r="L111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57" i="1"/>
  <c r="J57" i="1"/>
  <c r="J111" i="1" s="1"/>
  <c r="H111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E110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57" i="1"/>
  <c r="H57" i="1"/>
  <c r="M54" i="1"/>
  <c r="M55" i="1"/>
  <c r="M43" i="1"/>
  <c r="M52" i="1"/>
  <c r="M38" i="1"/>
  <c r="M50" i="1"/>
  <c r="M51" i="1"/>
  <c r="M49" i="1"/>
  <c r="M41" i="1"/>
  <c r="M37" i="1"/>
  <c r="M53" i="1"/>
  <c r="M42" i="1"/>
  <c r="M28" i="1"/>
  <c r="M31" i="1"/>
  <c r="M47" i="1"/>
  <c r="M48" i="1"/>
  <c r="M24" i="1"/>
  <c r="M7" i="1"/>
  <c r="M36" i="1"/>
  <c r="M34" i="1"/>
  <c r="M40" i="1"/>
  <c r="M27" i="1"/>
  <c r="M30" i="1"/>
  <c r="M45" i="1"/>
  <c r="M26" i="1"/>
  <c r="M23" i="1"/>
  <c r="M8" i="1"/>
  <c r="M35" i="1"/>
  <c r="M33" i="1"/>
  <c r="M39" i="1"/>
  <c r="M25" i="1"/>
  <c r="M29" i="1"/>
  <c r="M46" i="1"/>
  <c r="M22" i="1"/>
  <c r="M20" i="1"/>
  <c r="M5" i="1"/>
  <c r="M15" i="1"/>
  <c r="M32" i="1"/>
  <c r="M9" i="1"/>
  <c r="M21" i="1"/>
  <c r="M14" i="1"/>
  <c r="M4" i="1"/>
  <c r="M18" i="1"/>
  <c r="M16" i="1"/>
  <c r="M6" i="1"/>
  <c r="M13" i="1"/>
  <c r="M11" i="1"/>
  <c r="M2" i="1"/>
  <c r="M17" i="1"/>
  <c r="M12" i="1"/>
  <c r="M3" i="1"/>
  <c r="M19" i="1"/>
  <c r="M10" i="1"/>
  <c r="M44" i="1"/>
  <c r="N44" i="1"/>
  <c r="N54" i="1"/>
  <c r="N55" i="1"/>
  <c r="N43" i="1"/>
  <c r="N52" i="1"/>
  <c r="N38" i="1"/>
  <c r="N50" i="1"/>
  <c r="N51" i="1"/>
  <c r="N49" i="1"/>
  <c r="N41" i="1"/>
  <c r="N37" i="1"/>
  <c r="N53" i="1"/>
  <c r="N42" i="1"/>
  <c r="N28" i="1"/>
  <c r="N31" i="1"/>
  <c r="N47" i="1"/>
  <c r="N48" i="1"/>
  <c r="N24" i="1"/>
  <c r="N7" i="1"/>
  <c r="N36" i="1"/>
  <c r="N34" i="1"/>
  <c r="N40" i="1"/>
  <c r="N27" i="1"/>
  <c r="N30" i="1"/>
  <c r="N45" i="1"/>
  <c r="N26" i="1"/>
  <c r="N23" i="1"/>
  <c r="N8" i="1"/>
  <c r="N35" i="1"/>
  <c r="N33" i="1"/>
  <c r="N39" i="1"/>
  <c r="N25" i="1"/>
  <c r="N29" i="1"/>
  <c r="N46" i="1"/>
  <c r="N22" i="1"/>
  <c r="N20" i="1"/>
  <c r="N5" i="1"/>
  <c r="N15" i="1"/>
  <c r="N32" i="1"/>
  <c r="N9" i="1"/>
  <c r="N21" i="1"/>
  <c r="N14" i="1"/>
  <c r="N4" i="1"/>
  <c r="N18" i="1"/>
  <c r="N16" i="1"/>
  <c r="N6" i="1"/>
  <c r="N13" i="1"/>
  <c r="N11" i="1"/>
  <c r="N2" i="1"/>
  <c r="N17" i="1"/>
  <c r="N12" i="1"/>
  <c r="N3" i="1"/>
  <c r="N19" i="1"/>
  <c r="N10" i="1"/>
  <c r="L44" i="1"/>
  <c r="L54" i="1"/>
  <c r="L55" i="1"/>
  <c r="L43" i="1"/>
  <c r="L52" i="1"/>
  <c r="L38" i="1"/>
  <c r="L50" i="1"/>
  <c r="L51" i="1"/>
  <c r="L49" i="1"/>
  <c r="L41" i="1"/>
  <c r="L37" i="1"/>
  <c r="L53" i="1"/>
  <c r="L42" i="1"/>
  <c r="L28" i="1"/>
  <c r="L31" i="1"/>
  <c r="L47" i="1"/>
  <c r="L48" i="1"/>
  <c r="L24" i="1"/>
  <c r="L7" i="1"/>
  <c r="L36" i="1"/>
  <c r="L34" i="1"/>
  <c r="L40" i="1"/>
  <c r="L27" i="1"/>
  <c r="L30" i="1"/>
  <c r="L45" i="1"/>
  <c r="L26" i="1"/>
  <c r="L23" i="1"/>
  <c r="L8" i="1"/>
  <c r="L35" i="1"/>
  <c r="L33" i="1"/>
  <c r="L39" i="1"/>
  <c r="L25" i="1"/>
  <c r="L29" i="1"/>
  <c r="L46" i="1"/>
  <c r="L22" i="1"/>
  <c r="L20" i="1"/>
  <c r="L5" i="1"/>
  <c r="L15" i="1"/>
  <c r="L32" i="1"/>
  <c r="L9" i="1"/>
  <c r="L21" i="1"/>
  <c r="L14" i="1"/>
  <c r="L4" i="1"/>
  <c r="L18" i="1"/>
  <c r="L16" i="1"/>
  <c r="L6" i="1"/>
  <c r="L13" i="1"/>
  <c r="L11" i="1"/>
  <c r="L2" i="1"/>
  <c r="L17" i="1"/>
  <c r="L12" i="1"/>
  <c r="L3" i="1"/>
  <c r="L19" i="1"/>
  <c r="L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2019D9-1047-4DE0-900C-6264585B025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43D36E9-5456-4C19-8EF3-5F490D54A657}" name="WorksheetConnection_Linux.W60.S30_mitre_summary.csv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Linux.W60.S30_mitre_summary.csvTable11"/>
        </x15:connection>
      </ext>
    </extLst>
  </connection>
</connections>
</file>

<file path=xl/sharedStrings.xml><?xml version="1.0" encoding="utf-8"?>
<sst xmlns="http://schemas.openxmlformats.org/spreadsheetml/2006/main" count="154" uniqueCount="141">
  <si>
    <t>Run ID</t>
  </si>
  <si>
    <t>True Positives</t>
  </si>
  <si>
    <t>False Positives</t>
  </si>
  <si>
    <t>Total Predicted Anomaly Alerts</t>
  </si>
  <si>
    <t>MITRE-Mapped Alerts</t>
  </si>
  <si>
    <t>No MITRE Mapping Alerts</t>
  </si>
  <si>
    <t>Technique Counts</t>
  </si>
  <si>
    <t>Tactic Counts</t>
  </si>
  <si>
    <t>T1078 (347); T1110 (647); T1133 (268); T1190 (9)</t>
  </si>
  <si>
    <t>credential-access (647); defense-evasion (347); initial-access (624); persistence (615); privilege-escalation (347)</t>
  </si>
  <si>
    <t>T1078 (349); T1110 (642); T1133 (245); T1190 (9)</t>
  </si>
  <si>
    <t>credential-access (642); defense-evasion (349); initial-access (603); persistence (594); privilege-escalation (349)</t>
  </si>
  <si>
    <t>T1078 (349); T1110 (649); T1133 (267); T1190 (9)</t>
  </si>
  <si>
    <t>credential-access (649); defense-evasion (349); initial-access (625); persistence (616); privilege-escalation (349)</t>
  </si>
  <si>
    <t>T1078 (347); T1110 (629); T1133 (267); T1190 (9)</t>
  </si>
  <si>
    <t>credential-access (629); defense-evasion (347); initial-access (623); persistence (614); privilege-escalation (347)</t>
  </si>
  <si>
    <t>T1078 (348); T1110 (652); T1133 (244); T1190 (9)</t>
  </si>
  <si>
    <t>credential-access (652); defense-evasion (348); initial-access (601); persistence (592); privilege-escalation (348)</t>
  </si>
  <si>
    <t>T1078 (326); T1110 (618); T1133 (255); T1190 (9)</t>
  </si>
  <si>
    <t>credential-access (618); defense-evasion (326); initial-access (590); persistence (581); privilege-escalation (326)</t>
  </si>
  <si>
    <t>T1078 (348); T1110 (640); T1133 (264); T1190 (9)</t>
  </si>
  <si>
    <t>credential-access (640); defense-evasion (348); initial-access (621); persistence (612); privilege-escalation (348)</t>
  </si>
  <si>
    <t>T1078 (348); T1110 (650); T1133 (250); T1190 (9)</t>
  </si>
  <si>
    <t>credential-access (650); defense-evasion (348); initial-access (607); persistence (598); privilege-escalation (348)</t>
  </si>
  <si>
    <t>T1078 (348); T1110 (638); T1133 (251); T1190 (9)</t>
  </si>
  <si>
    <t>credential-access (638); defense-evasion (348); initial-access (608); persistence (599); privilege-escalation (348)</t>
  </si>
  <si>
    <t>T1078 (347); T1110 (628); T1133 (18); T1190 (9)</t>
  </si>
  <si>
    <t>credential-access (628); defense-evasion (347); initial-access (374); persistence (365); privilege-escalation (347)</t>
  </si>
  <si>
    <t>T1078 (326); T1110 (608); T1133 (13); T1190 (9)</t>
  </si>
  <si>
    <t>credential-access (608); defense-evasion (326); initial-access (348); persistence (339); privilege-escalation (326)</t>
  </si>
  <si>
    <t>T1078 (349); T1110 (553); T1133 (15); T1190 (9)</t>
  </si>
  <si>
    <t>credential-access (553); defense-evasion (349); initial-access (373); persistence (364); privilege-escalation (349)</t>
  </si>
  <si>
    <t>T1078 (325); T1110 (629); T1133 (13); T1190 (9)</t>
  </si>
  <si>
    <t>credential-access (629); defense-evasion (325); initial-access (347); persistence (338); privilege-escalation (325)</t>
  </si>
  <si>
    <t>T1078 (326); T1110 (518); T1133 (15); T1190 (6)</t>
  </si>
  <si>
    <t>credential-access (518); defense-evasion (326); initial-access (347); persistence (341); privilege-escalation (326)</t>
  </si>
  <si>
    <t>T1078 (348); T1110 (626); T1133 (15); T1190 (9)</t>
  </si>
  <si>
    <t>credential-access (626); defense-evasion (348); initial-access (372); persistence (363); privilege-escalation (348)</t>
  </si>
  <si>
    <t>T1078 (348); T1110 (628); T1133 (15); T1190 (9)</t>
  </si>
  <si>
    <t>credential-access (628); defense-evasion (348); initial-access (372); persistence (363); privilege-escalation (348)</t>
  </si>
  <si>
    <t>T1078 (325); T1110 (514); T1133 (14); T1190 (9)</t>
  </si>
  <si>
    <t>credential-access (514); defense-evasion (325); initial-access (348); persistence (339); privilege-escalation (325)</t>
  </si>
  <si>
    <t>T1078 (11); T1110 (280); T1133 (17); T1190 (9)</t>
  </si>
  <si>
    <t>credential-access (280); defense-evasion (11); initial-access (37); persistence (28); privilege-escalation (11)</t>
  </si>
  <si>
    <t>T1078 (326); T1110 (607); T1133 (13); T1190 (6)</t>
  </si>
  <si>
    <t>credential-access (607); defense-evasion (326); initial-access (345); persistence (339); privilege-escalation (326)</t>
  </si>
  <si>
    <t>T1078 (326); T1110 (527); T1133 (15); T1190 (9)</t>
  </si>
  <si>
    <t>credential-access (527); defense-evasion (326); initial-access (350); persistence (341); privilege-escalation (326)</t>
  </si>
  <si>
    <t>T1078 (347); T1110 (528); T1133 (18)</t>
  </si>
  <si>
    <t>credential-access (528); defense-evasion (347); initial-access (365); persistence (365); privilege-escalation (347)</t>
  </si>
  <si>
    <t>T1078 (325); T1110 (593); T1133 (10); T1190 (6)</t>
  </si>
  <si>
    <t>credential-access (593); defense-evasion (325); initial-access (341); persistence (335); privilege-escalation (325)</t>
  </si>
  <si>
    <t>T1078 (326); T1110 (506); T1133 (15)</t>
  </si>
  <si>
    <t>credential-access (506); defense-evasion (326); initial-access (341); persistence (341); privilege-escalation (326)</t>
  </si>
  <si>
    <t>T1078 (348); T1110 (520); T1133 (13)</t>
  </si>
  <si>
    <t>credential-access (520); defense-evasion (348); initial-access (361); persistence (361); privilege-escalation (348)</t>
  </si>
  <si>
    <t>T1078 (325); T1110 (591); T1133 (10); T1190 (9)</t>
  </si>
  <si>
    <t>credential-access (591); defense-evasion (325); initial-access (344); persistence (335); privilege-escalation (325)</t>
  </si>
  <si>
    <t>T1078 (325); T1110 (510); T1133 (12); T1190 (9)</t>
  </si>
  <si>
    <t>credential-access (510); defense-evasion (325); initial-access (346); persistence (337); privilege-escalation (325)</t>
  </si>
  <si>
    <t>T1078 (326); T1110 (527); T1133 (14); T1190 (9)</t>
  </si>
  <si>
    <t>credential-access (527); defense-evasion (326); initial-access (349); persistence (340); privilege-escalation (326)</t>
  </si>
  <si>
    <t>T1078 (347); T1110 (528); T1133 (16)</t>
  </si>
  <si>
    <t>credential-access (528); defense-evasion (347); initial-access (363); persistence (363); privilege-escalation (347)</t>
  </si>
  <si>
    <t>T1078 (325); T1110 (556); T1133 (10); T1190 (6)</t>
  </si>
  <si>
    <t>credential-access (556); defense-evasion (325); initial-access (341); persistence (335); privilege-escalation (325)</t>
  </si>
  <si>
    <t>T1078 (326); T1110 (501); T1133 (15)</t>
  </si>
  <si>
    <t>credential-access (501); defense-evasion (326); initial-access (341); persistence (341); privilege-escalation (326)</t>
  </si>
  <si>
    <t>T1078 (348); T1110 (520); T1133 (9)</t>
  </si>
  <si>
    <t>credential-access (520); defense-evasion (348); initial-access (357); persistence (357); privilege-escalation (348)</t>
  </si>
  <si>
    <t>T1078 (325); T1110 (509); T1133 (10); T1190 (9)</t>
  </si>
  <si>
    <t>credential-access (509); defense-evasion (325); initial-access (344); persistence (335); privilege-escalation (325)</t>
  </si>
  <si>
    <t>T1078 (325); T1110 (508); T1133 (12); T1190 (6)</t>
  </si>
  <si>
    <t>credential-access (508); defense-evasion (325); initial-access (343); persistence (337); privilege-escalation (325)</t>
  </si>
  <si>
    <t>T1078 (11); T1110 (273); T1133 (13)</t>
  </si>
  <si>
    <t>credential-access (273); defense-evasion (11); initial-access (24); persistence (24); privilege-escalation (11)</t>
  </si>
  <si>
    <t>T1078 (13); T1110 (291); T1133 (13); T1190 (6)</t>
  </si>
  <si>
    <t>credential-access (291); defense-evasion (13); initial-access (32); persistence (26); privilege-escalation (13)</t>
  </si>
  <si>
    <t>T1078 (326); T1110 (522); T1133 (14)</t>
  </si>
  <si>
    <t>credential-access (522); defense-evasion (326); initial-access (340); persistence (340); privilege-escalation (326)</t>
  </si>
  <si>
    <t>T1078 (11); T1110 (98); T1133 (10)</t>
  </si>
  <si>
    <t>credential-access (98); defense-evasion (11); initial-access (21); persistence (21); privilege-escalation (11)</t>
  </si>
  <si>
    <t>T1078 (325); T1110 (509); T1133 (10); T1190 (6)</t>
  </si>
  <si>
    <t>credential-access (509); defense-evasion (325); initial-access (341); persistence (335); privilege-escalation (325)</t>
  </si>
  <si>
    <t>T1078 (13); T1110 (26); T1133 (13)</t>
  </si>
  <si>
    <t>credential-access (26); defense-evasion (13); initial-access (26); persistence (26); privilege-escalation (13)</t>
  </si>
  <si>
    <t>T1078 (11); T1110 (19); T1133 (7)</t>
  </si>
  <si>
    <t>credential-access (19); defense-evasion (11); initial-access (18); persistence (18); privilege-escalation (11)</t>
  </si>
  <si>
    <t>T1078 (325); T1110 (507); T1133 (10); T1190 (6)</t>
  </si>
  <si>
    <t>credential-access (507); defense-evasion (325); initial-access (341); persistence (335); privilege-escalation (325)</t>
  </si>
  <si>
    <t>T1078 (325); T1110 (334); T1133 (11)</t>
  </si>
  <si>
    <t>credential-access (334); defense-evasion (325); initial-access (336); persistence (336); privilege-escalation (325)</t>
  </si>
  <si>
    <t>T1078 (13); T1110 (255); T1133 (13)</t>
  </si>
  <si>
    <t>credential-access (255); defense-evasion (13); initial-access (26); persistence (26); privilege-escalation (13)</t>
  </si>
  <si>
    <t>T1078 (13); T1110 (185); T1133 (12)</t>
  </si>
  <si>
    <t>credential-access (185); defense-evasion (13); initial-access (25); persistence (25); privilege-escalation (13)</t>
  </si>
  <si>
    <t>T1078 (10); T1110 (20); T1133 (10)</t>
  </si>
  <si>
    <t>credential-access (20); defense-evasion (10); initial-access (20); persistence (20); privilege-escalation (10)</t>
  </si>
  <si>
    <t>T1078 (325); T1110 (504); T1133 (10); T1190 (6)</t>
  </si>
  <si>
    <t>credential-access (504); defense-evasion (325); initial-access (341); persistence (335); privilege-escalation (325)</t>
  </si>
  <si>
    <t>T1078 (13); T1110 (24); T1133 (9)</t>
  </si>
  <si>
    <t>credential-access (24); defense-evasion (13); initial-access (22); persistence (22); privilege-escalation (13)</t>
  </si>
  <si>
    <t>T1078 (325); T1110 (507); T1133 (9); T1190 (6)</t>
  </si>
  <si>
    <t>credential-access (507); defense-evasion (325); initial-access (340); persistence (334); privilege-escalation (325)</t>
  </si>
  <si>
    <t>T1078 (12); T1110 (19); T1133 (7)</t>
  </si>
  <si>
    <t>credential-access (19); defense-evasion (12); initial-access (19); persistence (19); privilege-escalation (12)</t>
  </si>
  <si>
    <t>Column4</t>
  </si>
  <si>
    <t>Column5</t>
  </si>
  <si>
    <t>Row Labels</t>
  </si>
  <si>
    <t>Grand Total</t>
  </si>
  <si>
    <t>train_samples</t>
  </si>
  <si>
    <t>top_k</t>
  </si>
  <si>
    <t>seed</t>
  </si>
  <si>
    <t>MITRE Mapping Rate</t>
  </si>
  <si>
    <t>False Positive Rate Among Alerts</t>
  </si>
  <si>
    <t>True Positive Rate Among Alerts</t>
  </si>
  <si>
    <t>Average of MITRE Mapping Rate</t>
  </si>
  <si>
    <t>Average of False Positive Rate Among Alerts</t>
  </si>
  <si>
    <t>Average of True Positive Rate Among Alerts</t>
  </si>
  <si>
    <t>top_k = 1, training samples = 300</t>
  </si>
  <si>
    <t xml:space="preserve">Worst MITRE Mapping rate: </t>
  </si>
  <si>
    <t>top_k = 20, training samples = 500</t>
  </si>
  <si>
    <t>top_k = 7, train samples = 500</t>
  </si>
  <si>
    <t>top_k = 20, train samples = 500</t>
  </si>
  <si>
    <t>Best MITRE Mapping rate:</t>
  </si>
  <si>
    <t xml:space="preserve">Best False Pos Rate: </t>
  </si>
  <si>
    <t>Worst False Pos Rate:</t>
  </si>
  <si>
    <t>Best True Pos Rate</t>
  </si>
  <si>
    <t>Worst True Pos Rate</t>
  </si>
  <si>
    <t>top_k = 20, train samples = 300</t>
  </si>
  <si>
    <t xml:space="preserve">T1110: </t>
  </si>
  <si>
    <t xml:space="preserve">T1133: </t>
  </si>
  <si>
    <t>T1078:</t>
  </si>
  <si>
    <t>SUM</t>
  </si>
  <si>
    <t>T1190</t>
  </si>
  <si>
    <t>Across 54 runs:</t>
  </si>
  <si>
    <t>T1133:</t>
  </si>
  <si>
    <t>T1133 - External Remote Services</t>
  </si>
  <si>
    <t>T1190 - Exploit Public-Facing Application</t>
  </si>
  <si>
    <t>T1078 - Valid Accounts</t>
  </si>
  <si>
    <t>T1110 - Brute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</si>
</sst>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8" fontId="0" fillId="0" borderId="0" xfId="0" applyNumberFormat="1"/>
    <xf numFmtId="0" fontId="0" fillId="0" borderId="0" xfId="0" applyAlignment="1">
      <alignment wrapText="1"/>
    </xf>
    <xf numFmtId="168" fontId="0" fillId="0" borderId="0" xfId="0" applyNumberFormat="1" applyAlignment="1">
      <alignment wrapText="1"/>
    </xf>
    <xf numFmtId="168" fontId="19" fillId="0" borderId="0" xfId="0" applyNumberFormat="1" applyFont="1" applyAlignment="1">
      <alignment vertical="center" wrapText="1"/>
    </xf>
    <xf numFmtId="0" fontId="0" fillId="0" borderId="0" xfId="0" applyNumberFormat="1" applyAlignment="1">
      <alignment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horizontal="center" wrapText="1"/>
    </xf>
    <xf numFmtId="0" fontId="0" fillId="0" borderId="0" xfId="0" applyAlignment="1">
      <alignment horizontal="left" indent="1"/>
    </xf>
    <xf numFmtId="0" fontId="16" fillId="0" borderId="0" xfId="0" applyFont="1"/>
    <xf numFmtId="168" fontId="20" fillId="2" borderId="0" xfId="6" applyNumberFormat="1" applyFont="1"/>
    <xf numFmtId="0" fontId="16" fillId="0" borderId="0" xfId="0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4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numFmt numFmtId="168" formatCode="0.00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numFmt numFmtId="168" formatCode="0.000"/>
      <alignment horizontal="general" textRotation="0" wrapText="1" indent="0" justifyLastLine="0" shrinkToFit="0" readingOrder="0"/>
    </dxf>
    <dxf>
      <numFmt numFmtId="168" formatCode="0.000"/>
      <alignment horizontal="general" textRotation="0" wrapText="1" indent="0" justifyLastLine="0" shrinkToFit="0" readingOrder="0"/>
    </dxf>
    <dxf>
      <numFmt numFmtId="168" formatCode="0.000"/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</dxfs>
  <tableStyles count="0" defaultTableStyle="TableStyleMedium2" defaultPivotStyle="PivotStyleLight16"/>
  <colors>
    <mruColors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Frequency of MITRE ATT&amp;CK Technique Mappings Across Experiments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'Linux.W60.S30_mitre_summary'!$K$117:$N$117</c:f>
              <c:strCache>
                <c:ptCount val="4"/>
                <c:pt idx="0">
                  <c:v>T1133 - External Remote Services</c:v>
                </c:pt>
                <c:pt idx="1">
                  <c:v>T1110 - Brute Force</c:v>
                </c:pt>
                <c:pt idx="2">
                  <c:v>T1078 - Valid Accounts</c:v>
                </c:pt>
                <c:pt idx="3">
                  <c:v>T1190 - Exploit Public-Facing Application</c:v>
                </c:pt>
              </c:strCache>
            </c:strRef>
          </c:cat>
          <c:val>
            <c:numRef>
              <c:f>'Linux.W60.S30_mitre_summary'!$K$118:$N$118</c:f>
              <c:numCache>
                <c:formatCode>General</c:formatCode>
                <c:ptCount val="4"/>
                <c:pt idx="0">
                  <c:v>2877</c:v>
                </c:pt>
                <c:pt idx="1">
                  <c:v>24680</c:v>
                </c:pt>
                <c:pt idx="2">
                  <c:v>13562</c:v>
                </c:pt>
                <c:pt idx="3">
                  <c:v>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70-4B3C-8988-8A6EEA3C31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20204415"/>
        <c:axId val="2020206335"/>
      </c:barChart>
      <c:catAx>
        <c:axId val="2020204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206335"/>
        <c:crosses val="autoZero"/>
        <c:auto val="1"/>
        <c:lblAlgn val="ctr"/>
        <c:lblOffset val="100"/>
        <c:noMultiLvlLbl val="0"/>
      </c:catAx>
      <c:valAx>
        <c:axId val="2020206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204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1038225</xdr:colOff>
      <xdr:row>125</xdr:row>
      <xdr:rowOff>90486</xdr:rowOff>
    </xdr:from>
    <xdr:to>
      <xdr:col>13</xdr:col>
      <xdr:colOff>1200149</xdr:colOff>
      <xdr:row>163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D528F3-F38B-F68B-EEBB-CA36CF57BF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iel G" refreshedDate="46145.106690509259" backgroundQuery="1" createdVersion="8" refreshedVersion="8" minRefreshableVersion="3" recordCount="0" supportSubquery="1" supportAdvancedDrill="1" xr:uid="{3964CA54-4075-449A-BF3E-C861B557845B}">
  <cacheSource type="external" connectionId="1"/>
  <cacheFields count="5">
    <cacheField name="[Table1].[top_k].[top_k]" caption="top_k" numFmtId="0" hierarchy="2" level="1">
      <sharedItems containsSemiMixedTypes="0" containsString="0" containsNumber="1" containsInteger="1" minValue="1" maxValue="20" count="6">
        <n v="1"/>
        <n v="3"/>
        <n v="5"/>
        <n v="7"/>
        <n v="13"/>
        <n v="20"/>
      </sharedItems>
      <extLst>
        <ext xmlns:x15="http://schemas.microsoft.com/office/spreadsheetml/2010/11/main" uri="{4F2E5C28-24EA-4eb8-9CBF-B6C8F9C3D259}">
          <x15:cachedUniqueNames>
            <x15:cachedUniqueName index="0" name="[Table1].[top_k].&amp;[1]"/>
            <x15:cachedUniqueName index="1" name="[Table1].[top_k].&amp;[3]"/>
            <x15:cachedUniqueName index="2" name="[Table1].[top_k].&amp;[5]"/>
            <x15:cachedUniqueName index="3" name="[Table1].[top_k].&amp;[7]"/>
            <x15:cachedUniqueName index="4" name="[Table1].[top_k].&amp;[13]"/>
            <x15:cachedUniqueName index="5" name="[Table1].[top_k].&amp;[20]"/>
          </x15:cachedUniqueNames>
        </ext>
      </extLst>
    </cacheField>
    <cacheField name="[Table1].[train_samples].[train_samples]" caption="train_samples" numFmtId="0" hierarchy="1" level="1">
      <sharedItems containsSemiMixedTypes="0" containsString="0" containsNumber="1" containsInteger="1" minValue="100" maxValue="500" count="3">
        <n v="100"/>
        <n v="300"/>
        <n v="500"/>
      </sharedItems>
      <extLst>
        <ext xmlns:x15="http://schemas.microsoft.com/office/spreadsheetml/2010/11/main" uri="{4F2E5C28-24EA-4eb8-9CBF-B6C8F9C3D259}">
          <x15:cachedUniqueNames>
            <x15:cachedUniqueName index="0" name="[Table1].[train_samples].&amp;[100]"/>
            <x15:cachedUniqueName index="1" name="[Table1].[train_samples].&amp;[300]"/>
            <x15:cachedUniqueName index="2" name="[Table1].[train_samples].&amp;[500]"/>
          </x15:cachedUniqueNames>
        </ext>
      </extLst>
    </cacheField>
    <cacheField name="[Measures].[Average of MITRE Mapping Rate]" caption="Average of MITRE Mapping Rate" numFmtId="0" hierarchy="23" level="32767"/>
    <cacheField name="[Measures].[Average of False Positive Rate Among Alerts]" caption="Average of False Positive Rate Among Alerts" numFmtId="0" hierarchy="24" level="32767"/>
    <cacheField name="[Measures].[Average of True Positive Rate Among Alerts]" caption="Average of True Positive Rate Among Alerts" numFmtId="0" hierarchy="25" level="32767"/>
  </cacheFields>
  <cacheHierarchies count="26">
    <cacheHierarchy uniqueName="[Table1].[Run ID]" caption="Run ID" attribute="1" defaultMemberUniqueName="[Table1].[Run ID].[All]" allUniqueName="[Table1].[Run ID].[All]" dimensionUniqueName="[Table1]" displayFolder="" count="0" memberValueDatatype="20" unbalanced="0"/>
    <cacheHierarchy uniqueName="[Table1].[train_samples]" caption="train_samples" attribute="1" defaultMemberUniqueName="[Table1].[train_samples].[All]" allUniqueName="[Table1].[train_samples].[All]" dimensionUniqueName="[Table1]" displayFolder="" count="2" memberValueDatatype="20" unbalanced="0">
      <fieldsUsage count="2">
        <fieldUsage x="-1"/>
        <fieldUsage x="1"/>
      </fieldsUsage>
    </cacheHierarchy>
    <cacheHierarchy uniqueName="[Table1].[top_k]" caption="top_k" attribute="1" defaultMemberUniqueName="[Table1].[top_k].[All]" allUniqueName="[Table1].[top_k].[All]" dimensionUniqueName="[Table1]" displayFolder="" count="2" memberValueDatatype="20" unbalanced="0">
      <fieldsUsage count="2">
        <fieldUsage x="-1"/>
        <fieldUsage x="0"/>
      </fieldsUsage>
    </cacheHierarchy>
    <cacheHierarchy uniqueName="[Table1].[seed]" caption="seed" attribute="1" defaultMemberUniqueName="[Table1].[seed].[All]" allUniqueName="[Table1].[seed].[All]" dimensionUniqueName="[Table1]" displayFolder="" count="0" memberValueDatatype="20" unbalanced="0"/>
    <cacheHierarchy uniqueName="[Table1].[True Positives]" caption="True Positives" attribute="1" defaultMemberUniqueName="[Table1].[True Positives].[All]" allUniqueName="[Table1].[True Positives].[All]" dimensionUniqueName="[Table1]" displayFolder="" count="0" memberValueDatatype="20" unbalanced="0"/>
    <cacheHierarchy uniqueName="[Table1].[False Positives]" caption="False Positives" attribute="1" defaultMemberUniqueName="[Table1].[False Positives].[All]" allUniqueName="[Table1].[False Positives].[All]" dimensionUniqueName="[Table1]" displayFolder="" count="0" memberValueDatatype="20" unbalanced="0"/>
    <cacheHierarchy uniqueName="[Table1].[Total Predicted Anomaly Alerts]" caption="Total Predicted Anomaly Alerts" attribute="1" defaultMemberUniqueName="[Table1].[Total Predicted Anomaly Alerts].[All]" allUniqueName="[Table1].[Total Predicted Anomaly Alerts].[All]" dimensionUniqueName="[Table1]" displayFolder="" count="0" memberValueDatatype="20" unbalanced="0"/>
    <cacheHierarchy uniqueName="[Table1].[MITRE-Mapped Alerts]" caption="MITRE-Mapped Alerts" attribute="1" defaultMemberUniqueName="[Table1].[MITRE-Mapped Alerts].[All]" allUniqueName="[Table1].[MITRE-Mapped Alerts].[All]" dimensionUniqueName="[Table1]" displayFolder="" count="0" memberValueDatatype="20" unbalanced="0"/>
    <cacheHierarchy uniqueName="[Table1].[No MITRE Mapping Alerts]" caption="No MITRE Mapping Alerts" attribute="1" defaultMemberUniqueName="[Table1].[No MITRE Mapping Alerts].[All]" allUniqueName="[Table1].[No MITRE Mapping Alerts].[All]" dimensionUniqueName="[Table1]" displayFolder="" count="0" memberValueDatatype="20" unbalanced="0"/>
    <cacheHierarchy uniqueName="[Table1].[Technique Counts]" caption="Technique Counts" attribute="1" defaultMemberUniqueName="[Table1].[Technique Counts].[All]" allUniqueName="[Table1].[Technique Counts].[All]" dimensionUniqueName="[Table1]" displayFolder="" count="0" memberValueDatatype="130" unbalanced="0"/>
    <cacheHierarchy uniqueName="[Table1].[Tactic Counts]" caption="Tactic Counts" attribute="1" defaultMemberUniqueName="[Table1].[Tactic Counts].[All]" allUniqueName="[Table1].[Tactic Counts].[All]" dimensionUniqueName="[Table1]" displayFolder="" count="0" memberValueDatatype="130" unbalanced="0"/>
    <cacheHierarchy uniqueName="[Table1].[MITRE Mapping Rate]" caption="MITRE Mapping Rate" attribute="1" defaultMemberUniqueName="[Table1].[MITRE Mapping Rate].[All]" allUniqueName="[Table1].[MITRE Mapping Rate].[All]" dimensionUniqueName="[Table1]" displayFolder="" count="0" memberValueDatatype="5" unbalanced="0"/>
    <cacheHierarchy uniqueName="[Table1].[False Positive Rate Among Alerts]" caption="False Positive Rate Among Alerts" attribute="1" defaultMemberUniqueName="[Table1].[False Positive Rate Among Alerts].[All]" allUniqueName="[Table1].[False Positive Rate Among Alerts].[All]" dimensionUniqueName="[Table1]" displayFolder="" count="0" memberValueDatatype="5" unbalanced="0"/>
    <cacheHierarchy uniqueName="[Table1].[True Positive Rate Among Alerts]" caption="True Positive Rate Among Alerts" attribute="1" defaultMemberUniqueName="[Table1].[True Positive Rate Among Alerts].[All]" allUniqueName="[Table1].[True Positive Rate Among Alerts].[All]" dimensionUniqueName="[Table1]" displayFolder="" count="0" memberValueDatatype="5" unbalanced="0"/>
    <cacheHierarchy uniqueName="[Table1].[Column4]" caption="Column4" attribute="1" defaultMemberUniqueName="[Table1].[Column4].[All]" allUniqueName="[Table1].[Column4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Run ID]" caption="Sum of Run 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rain_samples]" caption="Sum of train_samples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p_k]" caption="Sum of top_k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MITRE Mapping Rate]" caption="Sum of MITRE Mapping Rate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False Positive Rate Among Alerts]" caption="Sum of False Positive Rate Among Alerts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True Positive Rate Among Alerts]" caption="Sum of True Positive Rate Among Alerts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MITRE Mapping Rate]" caption="Average of MITRE Mapping Rate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False Positive Rate Among Alerts]" caption="Average of False Positive Rate Among Alerts" measure="1" displayFolder="" measureGroup="Table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True Positive Rate Among Alerts]" caption="Average of True Positive Rate Among Alerts" measure="1" displayFolder="" measureGroup="Table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BD28EE-7982-42C7-82C4-51506DAEED01}" name="PivotTable14" cacheId="15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D28" firstHeaderRow="0" firstDataRow="1" firstDataCol="1"/>
  <pivotFields count="5">
    <pivotField axis="axisRow" allDrilled="1" showAll="0" sortType="descending" defaultAttributeDrillState="1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25">
    <i>
      <x v="3"/>
    </i>
    <i r="1">
      <x v="2"/>
    </i>
    <i r="1">
      <x v="1"/>
    </i>
    <i r="1">
      <x/>
    </i>
    <i>
      <x v="2"/>
    </i>
    <i r="1">
      <x v="2"/>
    </i>
    <i r="1">
      <x v="1"/>
    </i>
    <i r="1">
      <x/>
    </i>
    <i>
      <x v="1"/>
    </i>
    <i r="1">
      <x v="2"/>
    </i>
    <i r="1">
      <x v="1"/>
    </i>
    <i r="1">
      <x/>
    </i>
    <i>
      <x/>
    </i>
    <i r="1">
      <x v="1"/>
    </i>
    <i r="1">
      <x/>
    </i>
    <i r="1">
      <x v="2"/>
    </i>
    <i>
      <x v="4"/>
    </i>
    <i r="1">
      <x/>
    </i>
    <i r="1">
      <x v="2"/>
    </i>
    <i r="1">
      <x v="1"/>
    </i>
    <i>
      <x v="5"/>
    </i>
    <i r="1">
      <x/>
    </i>
    <i r="1">
      <x v="1"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MITRE Mapping Rate" fld="2" subtotal="average" baseField="0" baseItem="0"/>
    <dataField name="Average of False Positive Rate Among Alerts" fld="3" subtotal="average" baseField="0" baseItem="0"/>
    <dataField name="Average of True Positive Rate Among Alerts" fld="4" subtotal="average" baseField="0" baseItem="0"/>
  </dataFields>
  <formats count="1">
    <format dxfId="15">
      <pivotArea outline="0" collapsedLevelsAreSubtotals="1" fieldPosition="0"/>
    </format>
  </formats>
  <conditionalFormats count="3">
    <conditionalFormat priority="1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10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priority="9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MITRE Mapping Rate"/>
    <pivotHierarchy dragToData="1" caption="Average of False Positive Rate Among Alerts"/>
    <pivotHierarchy dragToData="1" caption="Average of True Positive Rate Among Alerts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inux.W60.S30_mitre_summary.csv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467A92-24DF-44B0-82D5-7E7F514F0251}" name="Table1" displayName="Table1" ref="A1:O56" totalsRowCount="1" headerRowDxfId="18" dataDxfId="16" totalsRowDxfId="17">
  <autoFilter ref="A1:O55" xr:uid="{F6467A92-24DF-44B0-82D5-7E7F514F0251}"/>
  <sortState xmlns:xlrd2="http://schemas.microsoft.com/office/spreadsheetml/2017/richdata2" ref="A2:O55">
    <sortCondition ref="J1:J55"/>
  </sortState>
  <tableColumns count="16">
    <tableColumn id="1" xr3:uid="{43CA519E-629B-43B2-868A-97C3B430AABE}" name="Run ID" dataDxfId="33" totalsRowDxfId="13"/>
    <tableColumn id="21" xr3:uid="{40970AC3-3C28-4AB1-8865-8CB314C646C7}" name="train_samples" dataDxfId="32" totalsRowDxfId="12"/>
    <tableColumn id="20" xr3:uid="{F345074C-B94B-4064-A44E-5609780428F5}" name="top_k" dataDxfId="31" totalsRowDxfId="11"/>
    <tableColumn id="19" xr3:uid="{9C62D760-CF48-4994-90FB-DE214F883014}" name="seed" dataDxfId="30" totalsRowDxfId="10"/>
    <tableColumn id="2" xr3:uid="{CF44668C-31D8-4480-BC9A-CBCFCAEEE092}" name="True Positives" dataDxfId="29" totalsRowDxfId="9"/>
    <tableColumn id="3" xr3:uid="{F973BDC0-2A9B-4A4F-83C1-D6C310687A8D}" name="False Positives" dataDxfId="28" totalsRowDxfId="8"/>
    <tableColumn id="4" xr3:uid="{C0B0E758-999B-4EE2-86D9-C7CB5BF050A5}" name="Total Predicted Anomaly Alerts" dataDxfId="27" totalsRowDxfId="7"/>
    <tableColumn id="5" xr3:uid="{4F68FE9F-AA9D-4C7B-B651-F6A8199A7CA7}" name="MITRE-Mapped Alerts" dataDxfId="26" totalsRowDxfId="6"/>
    <tableColumn id="6" xr3:uid="{2A5A4D61-30E8-4011-9D3E-D41F3C0096E2}" name="No MITRE Mapping Alerts" dataDxfId="25"/>
    <tableColumn id="7" xr3:uid="{CE9BF68F-9F2E-42DB-A289-CF2C11485364}" name="Technique Counts" dataDxfId="14"/>
    <tableColumn id="23" xr3:uid="{6E48845E-FF88-4C46-93E3-69D36351DC08}" name="Tactic Counts" dataDxfId="24" totalsRowDxfId="5"/>
    <tableColumn id="24" xr3:uid="{479D72AE-29EB-40D6-B7BB-30CAFC42BCB0}" name="MITRE Mapping Rate" dataDxfId="23" totalsRowDxfId="4">
      <calculatedColumnFormula>Table1[[#This Row],[MITRE-Mapped Alerts]] / Table1[[#This Row],[Total Predicted Anomaly Alerts]]</calculatedColumnFormula>
    </tableColumn>
    <tableColumn id="25" xr3:uid="{AF145611-C731-4470-B4FE-FC2E8166C4D7}" name="False Positive Rate Among Alerts" dataDxfId="22" totalsRowDxfId="3">
      <calculatedColumnFormula>Table1[[#This Row],[False Positives]] / Table1[[#This Row],[Total Predicted Anomaly Alerts]]</calculatedColumnFormula>
    </tableColumn>
    <tableColumn id="26" xr3:uid="{A5B28ACB-6038-4905-AED9-BF49ADA48A06}" name="True Positive Rate Among Alerts" dataDxfId="21" totalsRowDxfId="2">
      <calculatedColumnFormula>Table1[[#This Row],[True Positives]] / Table1[[#This Row],[Total Predicted Anomaly Alerts]]</calculatedColumnFormula>
    </tableColumn>
    <tableColumn id="27" xr3:uid="{9FAC4A1C-2E2D-4C65-9C2E-BAF8A324F4E1}" name="Column4" dataDxfId="20" totalsRowDxfId="1"/>
    <tableColumn id="8" xr3:uid="{40ACEB8D-EC38-4813-BB6E-7EECF3A95DBB}" name="Column5" dataDxfId="19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AB7AD-5948-409C-9190-08C4FDE09634}">
  <dimension ref="A3:D38"/>
  <sheetViews>
    <sheetView workbookViewId="0">
      <selection activeCell="B4" sqref="B4:D28"/>
    </sheetView>
  </sheetViews>
  <sheetFormatPr defaultRowHeight="15"/>
  <cols>
    <col min="1" max="1" width="13.42578125" bestFit="1" customWidth="1"/>
    <col min="2" max="2" width="29.7109375" bestFit="1" customWidth="1"/>
    <col min="3" max="3" width="41.140625" bestFit="1" customWidth="1"/>
    <col min="4" max="4" width="40.42578125" bestFit="1" customWidth="1"/>
  </cols>
  <sheetData>
    <row r="3" spans="1:4">
      <c r="A3" s="1" t="s">
        <v>108</v>
      </c>
      <c r="B3" t="s">
        <v>116</v>
      </c>
      <c r="C3" t="s">
        <v>117</v>
      </c>
      <c r="D3" t="s">
        <v>118</v>
      </c>
    </row>
    <row r="4" spans="1:4">
      <c r="A4" s="2">
        <v>7</v>
      </c>
      <c r="B4" s="3">
        <v>0.83418935823405083</v>
      </c>
      <c r="C4" s="3">
        <v>0.23465010307553222</v>
      </c>
      <c r="D4" s="3">
        <v>0.76534989692446764</v>
      </c>
    </row>
    <row r="5" spans="1:4">
      <c r="A5" s="10">
        <v>500</v>
      </c>
      <c r="B5" s="3">
        <v>0.85079141217343024</v>
      </c>
      <c r="C5" s="3">
        <v>0.2026304446420514</v>
      </c>
      <c r="D5" s="3">
        <v>0.79736955535794862</v>
      </c>
    </row>
    <row r="6" spans="1:4">
      <c r="A6" s="10">
        <v>300</v>
      </c>
      <c r="B6" s="3">
        <v>0.84433445029247967</v>
      </c>
      <c r="C6" s="3">
        <v>0.21319910733694061</v>
      </c>
      <c r="D6" s="3">
        <v>0.78680089266305941</v>
      </c>
    </row>
    <row r="7" spans="1:4">
      <c r="A7" s="10">
        <v>100</v>
      </c>
      <c r="B7" s="3">
        <v>0.80744221223624224</v>
      </c>
      <c r="C7" s="3">
        <v>0.28812075724760472</v>
      </c>
      <c r="D7" s="3">
        <v>0.71187924275239534</v>
      </c>
    </row>
    <row r="8" spans="1:4">
      <c r="A8" s="2">
        <v>5</v>
      </c>
      <c r="B8" s="3">
        <v>0.82507047243877552</v>
      </c>
      <c r="C8" s="3">
        <v>0.24649175737039183</v>
      </c>
      <c r="D8" s="3">
        <v>0.75350824262960814</v>
      </c>
    </row>
    <row r="9" spans="1:4">
      <c r="A9" s="10">
        <v>500</v>
      </c>
      <c r="B9" s="3">
        <v>0.84399664051279044</v>
      </c>
      <c r="C9" s="3">
        <v>0.21209728286284438</v>
      </c>
      <c r="D9" s="3">
        <v>0.78790271713715565</v>
      </c>
    </row>
    <row r="10" spans="1:4">
      <c r="A10" s="10">
        <v>300</v>
      </c>
      <c r="B10" s="3">
        <v>0.82900444168696152</v>
      </c>
      <c r="C10" s="3">
        <v>0.23407351544606447</v>
      </c>
      <c r="D10" s="3">
        <v>0.76592648455393564</v>
      </c>
    </row>
    <row r="11" spans="1:4">
      <c r="A11" s="10">
        <v>100</v>
      </c>
      <c r="B11" s="3">
        <v>0.80221033511657469</v>
      </c>
      <c r="C11" s="3">
        <v>0.2933044738022666</v>
      </c>
      <c r="D11" s="3">
        <v>0.70669552619773335</v>
      </c>
    </row>
    <row r="12" spans="1:4">
      <c r="A12" s="2">
        <v>3</v>
      </c>
      <c r="B12" s="3">
        <v>0.82851968308652102</v>
      </c>
      <c r="C12" s="3">
        <v>0.25275526849016844</v>
      </c>
      <c r="D12" s="3">
        <v>0.74724473150983162</v>
      </c>
    </row>
    <row r="13" spans="1:4">
      <c r="A13" s="10">
        <v>500</v>
      </c>
      <c r="B13" s="3">
        <v>0.84391094023947055</v>
      </c>
      <c r="C13" s="3">
        <v>0.23161330249452053</v>
      </c>
      <c r="D13" s="3">
        <v>0.7683866975054795</v>
      </c>
    </row>
    <row r="14" spans="1:4">
      <c r="A14" s="10">
        <v>300</v>
      </c>
      <c r="B14" s="3">
        <v>0.82798170531547532</v>
      </c>
      <c r="C14" s="3">
        <v>0.25912263989565004</v>
      </c>
      <c r="D14" s="3">
        <v>0.74087736010435001</v>
      </c>
    </row>
    <row r="15" spans="1:4">
      <c r="A15" s="10">
        <v>100</v>
      </c>
      <c r="B15" s="3">
        <v>0.81366640370461696</v>
      </c>
      <c r="C15" s="3">
        <v>0.26752986308033472</v>
      </c>
      <c r="D15" s="3">
        <v>0.73247013691966523</v>
      </c>
    </row>
    <row r="16" spans="1:4">
      <c r="A16" s="2">
        <v>1</v>
      </c>
      <c r="B16" s="3">
        <v>0.82635908121658885</v>
      </c>
      <c r="C16" s="3">
        <v>0.27175588529404959</v>
      </c>
      <c r="D16" s="3">
        <v>0.72824411470595041</v>
      </c>
    </row>
    <row r="17" spans="1:4">
      <c r="A17" s="10">
        <v>300</v>
      </c>
      <c r="B17" s="3">
        <v>0.86035714670191654</v>
      </c>
      <c r="C17" s="3">
        <v>0.2392141650693318</v>
      </c>
      <c r="D17" s="3">
        <v>0.76078583493066831</v>
      </c>
    </row>
    <row r="18" spans="1:4">
      <c r="A18" s="10">
        <v>100</v>
      </c>
      <c r="B18" s="3">
        <v>0.8580894093301441</v>
      </c>
      <c r="C18" s="3">
        <v>0.248286175775702</v>
      </c>
      <c r="D18" s="3">
        <v>0.75171382422429789</v>
      </c>
    </row>
    <row r="19" spans="1:4">
      <c r="A19" s="10">
        <v>500</v>
      </c>
      <c r="B19" s="3">
        <v>0.7606306876177058</v>
      </c>
      <c r="C19" s="3">
        <v>0.32776731503711476</v>
      </c>
      <c r="D19" s="3">
        <v>0.67223268496288524</v>
      </c>
    </row>
    <row r="20" spans="1:4">
      <c r="A20" s="2">
        <v>13</v>
      </c>
      <c r="B20" s="3">
        <v>0.65846064390771097</v>
      </c>
      <c r="C20" s="3">
        <v>0.43675947992361391</v>
      </c>
      <c r="D20" s="3">
        <v>0.56324052007638614</v>
      </c>
    </row>
    <row r="21" spans="1:4">
      <c r="A21" s="10">
        <v>100</v>
      </c>
      <c r="B21" s="3">
        <v>0.76999401903671638</v>
      </c>
      <c r="C21" s="3">
        <v>0.34350484768808576</v>
      </c>
      <c r="D21" s="3">
        <v>0.65649515231191435</v>
      </c>
    </row>
    <row r="22" spans="1:4">
      <c r="A22" s="10">
        <v>500</v>
      </c>
      <c r="B22" s="3">
        <v>0.64455279391635789</v>
      </c>
      <c r="C22" s="3">
        <v>0.41984951611045479</v>
      </c>
      <c r="D22" s="3">
        <v>0.58015048388954515</v>
      </c>
    </row>
    <row r="23" spans="1:4">
      <c r="A23" s="10">
        <v>300</v>
      </c>
      <c r="B23" s="3">
        <v>0.56083511877005832</v>
      </c>
      <c r="C23" s="3">
        <v>0.54692407597230119</v>
      </c>
      <c r="D23" s="3">
        <v>0.45307592402769875</v>
      </c>
    </row>
    <row r="24" spans="1:4">
      <c r="A24" s="2">
        <v>20</v>
      </c>
      <c r="B24" s="3">
        <v>0.55315551479943847</v>
      </c>
      <c r="C24" s="3">
        <v>0.54921967402506333</v>
      </c>
      <c r="D24" s="3">
        <v>0.45078032597493678</v>
      </c>
    </row>
    <row r="25" spans="1:4">
      <c r="A25" s="10">
        <v>100</v>
      </c>
      <c r="B25" s="3">
        <v>0.71454102122776819</v>
      </c>
      <c r="C25" s="3">
        <v>0.40755593803786572</v>
      </c>
      <c r="D25" s="3">
        <v>0.59244406196213428</v>
      </c>
    </row>
    <row r="26" spans="1:4">
      <c r="A26" s="10">
        <v>300</v>
      </c>
      <c r="B26" s="3">
        <v>0.4779685648805696</v>
      </c>
      <c r="C26" s="3">
        <v>0.62149793785051244</v>
      </c>
      <c r="D26" s="3">
        <v>0.37850206214948762</v>
      </c>
    </row>
    <row r="27" spans="1:4">
      <c r="A27" s="10">
        <v>500</v>
      </c>
      <c r="B27" s="3">
        <v>0.46695695828997774</v>
      </c>
      <c r="C27" s="3">
        <v>0.61860514618681162</v>
      </c>
      <c r="D27" s="3">
        <v>0.38139485381318833</v>
      </c>
    </row>
    <row r="28" spans="1:4">
      <c r="A28" s="2" t="s">
        <v>109</v>
      </c>
      <c r="B28" s="3">
        <v>0.75429245894718089</v>
      </c>
      <c r="C28" s="3">
        <v>0.33193869469646992</v>
      </c>
      <c r="D28" s="3">
        <v>0.66806130530352992</v>
      </c>
    </row>
    <row r="31" spans="1:4">
      <c r="B31" s="11" t="s">
        <v>124</v>
      </c>
      <c r="C31" s="3">
        <v>0.86035714670191654</v>
      </c>
      <c r="D31" t="s">
        <v>119</v>
      </c>
    </row>
    <row r="32" spans="1:4">
      <c r="B32" s="11" t="s">
        <v>120</v>
      </c>
      <c r="C32" s="3">
        <v>0.46695695828997774</v>
      </c>
      <c r="D32" t="s">
        <v>121</v>
      </c>
    </row>
    <row r="34" spans="2:4">
      <c r="B34" s="11" t="s">
        <v>125</v>
      </c>
      <c r="C34" s="12">
        <v>0.20263044464205099</v>
      </c>
      <c r="D34" t="s">
        <v>122</v>
      </c>
    </row>
    <row r="35" spans="2:4">
      <c r="B35" s="11" t="s">
        <v>126</v>
      </c>
      <c r="C35" s="3">
        <v>0.61860514618681162</v>
      </c>
      <c r="D35" t="s">
        <v>123</v>
      </c>
    </row>
    <row r="37" spans="2:4">
      <c r="B37" s="11" t="s">
        <v>127</v>
      </c>
      <c r="C37" s="3">
        <v>0.79736955535794862</v>
      </c>
      <c r="D37" t="s">
        <v>122</v>
      </c>
    </row>
    <row r="38" spans="2:4">
      <c r="B38" s="11" t="s">
        <v>128</v>
      </c>
      <c r="C38" s="3">
        <v>0.37850206214948762</v>
      </c>
      <c r="D38" t="s">
        <v>129</v>
      </c>
    </row>
  </sheetData>
  <conditionalFormatting pivot="1" sqref="B4:B28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D4:D28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4:C28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1:C3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4:C3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7:C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4D047-A0FF-4AB3-88B4-44661CF2F6A7}">
  <dimension ref="A1:P118"/>
  <sheetViews>
    <sheetView tabSelected="1" topLeftCell="C89" workbookViewId="0">
      <selection activeCell="H121" sqref="H121"/>
    </sheetView>
  </sheetViews>
  <sheetFormatPr defaultRowHeight="15"/>
  <cols>
    <col min="1" max="1" width="9.28515625" style="4" bestFit="1" customWidth="1"/>
    <col min="2" max="2" width="15.7109375" style="4" customWidth="1"/>
    <col min="3" max="4" width="9.140625" style="4"/>
    <col min="5" max="5" width="16.140625" style="4" bestFit="1" customWidth="1"/>
    <col min="6" max="6" width="16.85546875" style="4" bestFit="1" customWidth="1"/>
    <col min="7" max="7" width="31.28515625" style="4" bestFit="1" customWidth="1"/>
    <col min="8" max="8" width="22.7109375" style="4" bestFit="1" customWidth="1"/>
    <col min="9" max="9" width="26" style="4" bestFit="1" customWidth="1"/>
    <col min="10" max="10" width="42.5703125" style="4" bestFit="1" customWidth="1"/>
    <col min="11" max="11" width="21.5703125" style="4" customWidth="1"/>
    <col min="12" max="12" width="27.7109375" style="4" bestFit="1" customWidth="1"/>
    <col min="13" max="13" width="33.28515625" style="4" bestFit="1" customWidth="1"/>
    <col min="14" max="14" width="32.5703125" style="4" bestFit="1" customWidth="1"/>
    <col min="15" max="15" width="15.5703125" style="4" customWidth="1"/>
    <col min="16" max="16" width="25.42578125" style="4" customWidth="1"/>
    <col min="17" max="16384" width="9.140625" style="4"/>
  </cols>
  <sheetData>
    <row r="1" spans="1:16">
      <c r="A1" s="4" t="s">
        <v>0</v>
      </c>
      <c r="B1" s="4" t="s">
        <v>110</v>
      </c>
      <c r="C1" s="4" t="s">
        <v>111</v>
      </c>
      <c r="D1" s="4" t="s">
        <v>112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113</v>
      </c>
      <c r="M1" s="4" t="s">
        <v>114</v>
      </c>
      <c r="N1" s="4" t="s">
        <v>115</v>
      </c>
      <c r="O1" s="4" t="s">
        <v>106</v>
      </c>
      <c r="P1" s="4" t="s">
        <v>107</v>
      </c>
    </row>
    <row r="2" spans="1:16">
      <c r="A2" s="4">
        <v>49</v>
      </c>
      <c r="B2" s="4">
        <v>300</v>
      </c>
      <c r="C2" s="4">
        <v>20</v>
      </c>
      <c r="D2" s="4">
        <v>3</v>
      </c>
      <c r="E2" s="4">
        <v>16</v>
      </c>
      <c r="F2" s="4">
        <v>99</v>
      </c>
      <c r="G2" s="4">
        <v>115</v>
      </c>
      <c r="H2" s="4">
        <v>28</v>
      </c>
      <c r="I2" s="4">
        <v>87</v>
      </c>
      <c r="J2" s="4" t="s">
        <v>96</v>
      </c>
      <c r="K2" s="4" t="s">
        <v>97</v>
      </c>
      <c r="L2" s="5">
        <f>Table1[[#This Row],[MITRE-Mapped Alerts]] / Table1[[#This Row],[Total Predicted Anomaly Alerts]]</f>
        <v>0.24347826086956523</v>
      </c>
      <c r="M2" s="6">
        <f>Table1[[#This Row],[False Positives]] / Table1[[#This Row],[Total Predicted Anomaly Alerts]]</f>
        <v>0.86086956521739133</v>
      </c>
      <c r="N2" s="5">
        <f>Table1[[#This Row],[True Positives]] / Table1[[#This Row],[Total Predicted Anomaly Alerts]]</f>
        <v>0.1391304347826087</v>
      </c>
    </row>
    <row r="3" spans="1:16">
      <c r="A3" s="4">
        <v>52</v>
      </c>
      <c r="B3" s="4">
        <v>500</v>
      </c>
      <c r="C3" s="4">
        <v>20</v>
      </c>
      <c r="D3" s="4">
        <v>3</v>
      </c>
      <c r="E3" s="4">
        <v>14</v>
      </c>
      <c r="F3" s="4">
        <v>89</v>
      </c>
      <c r="G3" s="4">
        <v>103</v>
      </c>
      <c r="H3" s="4">
        <v>25</v>
      </c>
      <c r="I3" s="4">
        <v>78</v>
      </c>
      <c r="J3" s="4" t="s">
        <v>86</v>
      </c>
      <c r="K3" s="4" t="s">
        <v>87</v>
      </c>
      <c r="L3" s="5">
        <f>Table1[[#This Row],[MITRE-Mapped Alerts]] / Table1[[#This Row],[Total Predicted Anomaly Alerts]]</f>
        <v>0.24271844660194175</v>
      </c>
      <c r="M3" s="6">
        <f>Table1[[#This Row],[False Positives]] / Table1[[#This Row],[Total Predicted Anomaly Alerts]]</f>
        <v>0.86407766990291257</v>
      </c>
      <c r="N3" s="5">
        <f>Table1[[#This Row],[True Positives]] / Table1[[#This Row],[Total Predicted Anomaly Alerts]]</f>
        <v>0.13592233009708737</v>
      </c>
    </row>
    <row r="4" spans="1:16">
      <c r="A4" s="4">
        <v>43</v>
      </c>
      <c r="B4" s="4">
        <v>500</v>
      </c>
      <c r="C4" s="4">
        <v>13</v>
      </c>
      <c r="D4" s="4">
        <v>3</v>
      </c>
      <c r="E4" s="4">
        <v>14</v>
      </c>
      <c r="F4" s="4">
        <v>94</v>
      </c>
      <c r="G4" s="4">
        <v>108</v>
      </c>
      <c r="H4" s="4">
        <v>25</v>
      </c>
      <c r="I4" s="4">
        <v>83</v>
      </c>
      <c r="J4" s="4" t="s">
        <v>86</v>
      </c>
      <c r="K4" s="4" t="s">
        <v>87</v>
      </c>
      <c r="L4" s="5">
        <f>Table1[[#This Row],[MITRE-Mapped Alerts]] / Table1[[#This Row],[Total Predicted Anomaly Alerts]]</f>
        <v>0.23148148148148148</v>
      </c>
      <c r="M4" s="6">
        <f>Table1[[#This Row],[False Positives]] / Table1[[#This Row],[Total Predicted Anomaly Alerts]]</f>
        <v>0.87037037037037035</v>
      </c>
      <c r="N4" s="5">
        <f>Table1[[#This Row],[True Positives]] / Table1[[#This Row],[Total Predicted Anomaly Alerts]]</f>
        <v>0.12962962962962962</v>
      </c>
    </row>
    <row r="5" spans="1:16">
      <c r="A5" s="4">
        <v>37</v>
      </c>
      <c r="B5" s="4">
        <v>100</v>
      </c>
      <c r="C5" s="4">
        <v>13</v>
      </c>
      <c r="D5" s="4">
        <v>3</v>
      </c>
      <c r="E5" s="4">
        <v>239</v>
      </c>
      <c r="F5" s="4">
        <v>176</v>
      </c>
      <c r="G5" s="4">
        <v>415</v>
      </c>
      <c r="H5" s="4">
        <v>284</v>
      </c>
      <c r="I5" s="4">
        <v>131</v>
      </c>
      <c r="J5" s="4" t="s">
        <v>74</v>
      </c>
      <c r="K5" s="4" t="s">
        <v>75</v>
      </c>
      <c r="L5" s="5">
        <f>Table1[[#This Row],[MITRE-Mapped Alerts]] / Table1[[#This Row],[Total Predicted Anomaly Alerts]]</f>
        <v>0.68433734939759039</v>
      </c>
      <c r="M5" s="6">
        <f>Table1[[#This Row],[False Positives]] / Table1[[#This Row],[Total Predicted Anomaly Alerts]]</f>
        <v>0.42409638554216866</v>
      </c>
      <c r="N5" s="5">
        <f>Table1[[#This Row],[True Positives]] / Table1[[#This Row],[Total Predicted Anomaly Alerts]]</f>
        <v>0.57590361445783134</v>
      </c>
    </row>
    <row r="6" spans="1:16">
      <c r="A6" s="4">
        <v>46</v>
      </c>
      <c r="B6" s="4">
        <v>100</v>
      </c>
      <c r="C6" s="4">
        <v>20</v>
      </c>
      <c r="D6" s="4">
        <v>3</v>
      </c>
      <c r="E6" s="4">
        <v>239</v>
      </c>
      <c r="F6" s="4">
        <v>176</v>
      </c>
      <c r="G6" s="4">
        <v>415</v>
      </c>
      <c r="H6" s="4">
        <v>284</v>
      </c>
      <c r="I6" s="4">
        <v>131</v>
      </c>
      <c r="J6" s="4" t="s">
        <v>74</v>
      </c>
      <c r="K6" s="4" t="s">
        <v>75</v>
      </c>
      <c r="L6" s="5">
        <f>Table1[[#This Row],[MITRE-Mapped Alerts]] / Table1[[#This Row],[Total Predicted Anomaly Alerts]]</f>
        <v>0.68433734939759039</v>
      </c>
      <c r="M6" s="6">
        <f>Table1[[#This Row],[False Positives]] / Table1[[#This Row],[Total Predicted Anomaly Alerts]]</f>
        <v>0.42409638554216866</v>
      </c>
      <c r="N6" s="5">
        <f>Table1[[#This Row],[True Positives]] / Table1[[#This Row],[Total Predicted Anomaly Alerts]]</f>
        <v>0.57590361445783134</v>
      </c>
    </row>
    <row r="7" spans="1:16">
      <c r="A7" s="4">
        <v>19</v>
      </c>
      <c r="B7" s="4">
        <v>100</v>
      </c>
      <c r="C7" s="4">
        <v>5</v>
      </c>
      <c r="D7" s="4">
        <v>3</v>
      </c>
      <c r="E7" s="4">
        <v>254</v>
      </c>
      <c r="F7" s="4">
        <v>185</v>
      </c>
      <c r="G7" s="4">
        <v>439</v>
      </c>
      <c r="H7" s="4">
        <v>304</v>
      </c>
      <c r="I7" s="4">
        <v>135</v>
      </c>
      <c r="J7" s="4" t="s">
        <v>42</v>
      </c>
      <c r="K7" s="4" t="s">
        <v>43</v>
      </c>
      <c r="L7" s="5">
        <f>Table1[[#This Row],[MITRE-Mapped Alerts]] / Table1[[#This Row],[Total Predicted Anomaly Alerts]]</f>
        <v>0.69248291571753984</v>
      </c>
      <c r="M7" s="6">
        <f>Table1[[#This Row],[False Positives]] / Table1[[#This Row],[Total Predicted Anomaly Alerts]]</f>
        <v>0.42141230068337132</v>
      </c>
      <c r="N7" s="5">
        <f>Table1[[#This Row],[True Positives]] / Table1[[#This Row],[Total Predicted Anomaly Alerts]]</f>
        <v>0.57858769931662868</v>
      </c>
    </row>
    <row r="8" spans="1:16">
      <c r="A8" s="4">
        <v>28</v>
      </c>
      <c r="B8" s="4">
        <v>100</v>
      </c>
      <c r="C8" s="4">
        <v>7</v>
      </c>
      <c r="D8" s="4">
        <v>3</v>
      </c>
      <c r="E8" s="4">
        <v>254</v>
      </c>
      <c r="F8" s="4">
        <v>185</v>
      </c>
      <c r="G8" s="4">
        <v>439</v>
      </c>
      <c r="H8" s="4">
        <v>304</v>
      </c>
      <c r="I8" s="4">
        <v>135</v>
      </c>
      <c r="J8" s="4" t="s">
        <v>42</v>
      </c>
      <c r="K8" s="4" t="s">
        <v>43</v>
      </c>
      <c r="L8" s="5">
        <f>Table1[[#This Row],[MITRE-Mapped Alerts]] / Table1[[#This Row],[Total Predicted Anomaly Alerts]]</f>
        <v>0.69248291571753984</v>
      </c>
      <c r="M8" s="6">
        <f>Table1[[#This Row],[False Positives]] / Table1[[#This Row],[Total Predicted Anomaly Alerts]]</f>
        <v>0.42141230068337132</v>
      </c>
      <c r="N8" s="5">
        <f>Table1[[#This Row],[True Positives]] / Table1[[#This Row],[Total Predicted Anomaly Alerts]]</f>
        <v>0.57858769931662868</v>
      </c>
    </row>
    <row r="9" spans="1:16">
      <c r="A9" s="4">
        <v>40</v>
      </c>
      <c r="B9" s="4">
        <v>300</v>
      </c>
      <c r="C9" s="4">
        <v>13</v>
      </c>
      <c r="D9" s="4">
        <v>3</v>
      </c>
      <c r="E9" s="4">
        <v>83</v>
      </c>
      <c r="F9" s="4">
        <v>140</v>
      </c>
      <c r="G9" s="4">
        <v>223</v>
      </c>
      <c r="H9" s="4">
        <v>106</v>
      </c>
      <c r="I9" s="4">
        <v>117</v>
      </c>
      <c r="J9" s="4" t="s">
        <v>80</v>
      </c>
      <c r="K9" s="4" t="s">
        <v>81</v>
      </c>
      <c r="L9" s="5">
        <f>Table1[[#This Row],[MITRE-Mapped Alerts]] / Table1[[#This Row],[Total Predicted Anomaly Alerts]]</f>
        <v>0.47533632286995514</v>
      </c>
      <c r="M9" s="6">
        <f>Table1[[#This Row],[False Positives]] / Table1[[#This Row],[Total Predicted Anomaly Alerts]]</f>
        <v>0.62780269058295968</v>
      </c>
      <c r="N9" s="5">
        <f>Table1[[#This Row],[True Positives]] / Table1[[#This Row],[Total Predicted Anomaly Alerts]]</f>
        <v>0.37219730941704038</v>
      </c>
    </row>
    <row r="10" spans="1:16">
      <c r="A10" s="4">
        <v>54</v>
      </c>
      <c r="B10" s="4">
        <v>500</v>
      </c>
      <c r="C10" s="4">
        <v>20</v>
      </c>
      <c r="D10" s="4">
        <v>7</v>
      </c>
      <c r="E10" s="4">
        <v>17</v>
      </c>
      <c r="F10" s="4">
        <v>77</v>
      </c>
      <c r="G10" s="4">
        <v>94</v>
      </c>
      <c r="H10" s="4">
        <v>26</v>
      </c>
      <c r="I10" s="4">
        <v>68</v>
      </c>
      <c r="J10" s="4" t="s">
        <v>104</v>
      </c>
      <c r="K10" s="4" t="s">
        <v>105</v>
      </c>
      <c r="L10" s="5">
        <f>Table1[[#This Row],[MITRE-Mapped Alerts]] / Table1[[#This Row],[Total Predicted Anomaly Alerts]]</f>
        <v>0.27659574468085107</v>
      </c>
      <c r="M10" s="6">
        <f>Table1[[#This Row],[False Positives]] / Table1[[#This Row],[Total Predicted Anomaly Alerts]]</f>
        <v>0.81914893617021278</v>
      </c>
      <c r="N10" s="5">
        <f>Table1[[#This Row],[True Positives]] / Table1[[#This Row],[Total Predicted Anomaly Alerts]]</f>
        <v>0.18085106382978725</v>
      </c>
    </row>
    <row r="11" spans="1:16">
      <c r="A11" s="4">
        <v>48</v>
      </c>
      <c r="B11" s="4">
        <v>100</v>
      </c>
      <c r="C11" s="4">
        <v>20</v>
      </c>
      <c r="D11" s="4">
        <v>7</v>
      </c>
      <c r="E11" s="4">
        <v>166</v>
      </c>
      <c r="F11" s="4">
        <v>114</v>
      </c>
      <c r="G11" s="4">
        <v>280</v>
      </c>
      <c r="H11" s="4">
        <v>195</v>
      </c>
      <c r="I11" s="4">
        <v>85</v>
      </c>
      <c r="J11" s="4" t="s">
        <v>94</v>
      </c>
      <c r="K11" s="4" t="s">
        <v>95</v>
      </c>
      <c r="L11" s="5">
        <f>Table1[[#This Row],[MITRE-Mapped Alerts]] / Table1[[#This Row],[Total Predicted Anomaly Alerts]]</f>
        <v>0.6964285714285714</v>
      </c>
      <c r="M11" s="6">
        <f>Table1[[#This Row],[False Positives]] / Table1[[#This Row],[Total Predicted Anomaly Alerts]]</f>
        <v>0.40714285714285714</v>
      </c>
      <c r="N11" s="5">
        <f>Table1[[#This Row],[True Positives]] / Table1[[#This Row],[Total Predicted Anomaly Alerts]]</f>
        <v>0.59285714285714286</v>
      </c>
    </row>
    <row r="12" spans="1:16">
      <c r="A12" s="4">
        <v>51</v>
      </c>
      <c r="B12" s="4">
        <v>300</v>
      </c>
      <c r="C12" s="4">
        <v>20</v>
      </c>
      <c r="D12" s="4">
        <v>7</v>
      </c>
      <c r="E12" s="4">
        <v>17</v>
      </c>
      <c r="F12" s="4">
        <v>88</v>
      </c>
      <c r="G12" s="4">
        <v>105</v>
      </c>
      <c r="H12" s="4">
        <v>32</v>
      </c>
      <c r="I12" s="4">
        <v>73</v>
      </c>
      <c r="J12" s="4" t="s">
        <v>100</v>
      </c>
      <c r="K12" s="4" t="s">
        <v>101</v>
      </c>
      <c r="L12" s="5">
        <f>Table1[[#This Row],[MITRE-Mapped Alerts]] / Table1[[#This Row],[Total Predicted Anomaly Alerts]]</f>
        <v>0.30476190476190479</v>
      </c>
      <c r="M12" s="6">
        <f>Table1[[#This Row],[False Positives]] / Table1[[#This Row],[Total Predicted Anomaly Alerts]]</f>
        <v>0.83809523809523812</v>
      </c>
      <c r="N12" s="5">
        <f>Table1[[#This Row],[True Positives]] / Table1[[#This Row],[Total Predicted Anomaly Alerts]]</f>
        <v>0.16190476190476191</v>
      </c>
    </row>
    <row r="13" spans="1:16">
      <c r="A13" s="4">
        <v>47</v>
      </c>
      <c r="B13" s="4">
        <v>100</v>
      </c>
      <c r="C13" s="4">
        <v>20</v>
      </c>
      <c r="D13" s="4">
        <v>5</v>
      </c>
      <c r="E13" s="4">
        <v>213</v>
      </c>
      <c r="F13" s="4">
        <v>137</v>
      </c>
      <c r="G13" s="4">
        <v>350</v>
      </c>
      <c r="H13" s="4">
        <v>267</v>
      </c>
      <c r="I13" s="4">
        <v>83</v>
      </c>
      <c r="J13" s="4" t="s">
        <v>92</v>
      </c>
      <c r="K13" s="4" t="s">
        <v>93</v>
      </c>
      <c r="L13" s="5">
        <f>Table1[[#This Row],[MITRE-Mapped Alerts]] / Table1[[#This Row],[Total Predicted Anomaly Alerts]]</f>
        <v>0.7628571428571429</v>
      </c>
      <c r="M13" s="6">
        <f>Table1[[#This Row],[False Positives]] / Table1[[#This Row],[Total Predicted Anomaly Alerts]]</f>
        <v>0.3914285714285714</v>
      </c>
      <c r="N13" s="5">
        <f>Table1[[#This Row],[True Positives]] / Table1[[#This Row],[Total Predicted Anomaly Alerts]]</f>
        <v>0.60857142857142854</v>
      </c>
    </row>
    <row r="14" spans="1:16">
      <c r="A14" s="4">
        <v>42</v>
      </c>
      <c r="B14" s="4">
        <v>300</v>
      </c>
      <c r="C14" s="4">
        <v>13</v>
      </c>
      <c r="D14" s="4">
        <v>7</v>
      </c>
      <c r="E14" s="4">
        <v>19</v>
      </c>
      <c r="F14" s="4">
        <v>99</v>
      </c>
      <c r="G14" s="4">
        <v>118</v>
      </c>
      <c r="H14" s="4">
        <v>38</v>
      </c>
      <c r="I14" s="4">
        <v>80</v>
      </c>
      <c r="J14" s="4" t="s">
        <v>84</v>
      </c>
      <c r="K14" s="4" t="s">
        <v>85</v>
      </c>
      <c r="L14" s="5">
        <f>Table1[[#This Row],[MITRE-Mapped Alerts]] / Table1[[#This Row],[Total Predicted Anomaly Alerts]]</f>
        <v>0.32203389830508472</v>
      </c>
      <c r="M14" s="6">
        <f>Table1[[#This Row],[False Positives]] / Table1[[#This Row],[Total Predicted Anomaly Alerts]]</f>
        <v>0.83898305084745761</v>
      </c>
      <c r="N14" s="5">
        <f>Table1[[#This Row],[True Positives]] / Table1[[#This Row],[Total Predicted Anomaly Alerts]]</f>
        <v>0.16101694915254236</v>
      </c>
    </row>
    <row r="15" spans="1:16">
      <c r="A15" s="4">
        <v>38</v>
      </c>
      <c r="B15" s="4">
        <v>100</v>
      </c>
      <c r="C15" s="4">
        <v>13</v>
      </c>
      <c r="D15" s="4">
        <v>5</v>
      </c>
      <c r="E15" s="4">
        <v>251</v>
      </c>
      <c r="F15" s="4">
        <v>154</v>
      </c>
      <c r="G15" s="4">
        <v>405</v>
      </c>
      <c r="H15" s="4">
        <v>309</v>
      </c>
      <c r="I15" s="4">
        <v>96</v>
      </c>
      <c r="J15" s="4" t="s">
        <v>76</v>
      </c>
      <c r="K15" s="4" t="s">
        <v>77</v>
      </c>
      <c r="L15" s="5">
        <f>Table1[[#This Row],[MITRE-Mapped Alerts]] / Table1[[#This Row],[Total Predicted Anomaly Alerts]]</f>
        <v>0.76296296296296295</v>
      </c>
      <c r="M15" s="6">
        <f>Table1[[#This Row],[False Positives]] / Table1[[#This Row],[Total Predicted Anomaly Alerts]]</f>
        <v>0.38024691358024693</v>
      </c>
      <c r="N15" s="5">
        <f>Table1[[#This Row],[True Positives]] / Table1[[#This Row],[Total Predicted Anomaly Alerts]]</f>
        <v>0.61975308641975313</v>
      </c>
    </row>
    <row r="16" spans="1:16">
      <c r="A16" s="4">
        <v>45</v>
      </c>
      <c r="B16" s="4">
        <v>500</v>
      </c>
      <c r="C16" s="4">
        <v>13</v>
      </c>
      <c r="D16" s="4">
        <v>7</v>
      </c>
      <c r="E16" s="4">
        <v>330</v>
      </c>
      <c r="F16" s="4">
        <v>89</v>
      </c>
      <c r="G16" s="4">
        <v>419</v>
      </c>
      <c r="H16" s="4">
        <v>345</v>
      </c>
      <c r="I16" s="4">
        <v>74</v>
      </c>
      <c r="J16" s="4" t="s">
        <v>90</v>
      </c>
      <c r="K16" s="4" t="s">
        <v>91</v>
      </c>
      <c r="L16" s="5">
        <f>Table1[[#This Row],[MITRE-Mapped Alerts]] / Table1[[#This Row],[Total Predicted Anomaly Alerts]]</f>
        <v>0.8233890214797136</v>
      </c>
      <c r="M16" s="6">
        <f>Table1[[#This Row],[False Positives]] / Table1[[#This Row],[Total Predicted Anomaly Alerts]]</f>
        <v>0.21241050119331742</v>
      </c>
      <c r="N16" s="5">
        <f>Table1[[#This Row],[True Positives]] / Table1[[#This Row],[Total Predicted Anomaly Alerts]]</f>
        <v>0.78758949880668261</v>
      </c>
    </row>
    <row r="17" spans="1:14">
      <c r="A17" s="4">
        <v>50</v>
      </c>
      <c r="B17" s="4">
        <v>300</v>
      </c>
      <c r="C17" s="4">
        <v>20</v>
      </c>
      <c r="D17" s="4">
        <v>5</v>
      </c>
      <c r="E17" s="4">
        <v>489</v>
      </c>
      <c r="F17" s="4">
        <v>97</v>
      </c>
      <c r="G17" s="4">
        <v>586</v>
      </c>
      <c r="H17" s="4">
        <v>519</v>
      </c>
      <c r="I17" s="4">
        <v>67</v>
      </c>
      <c r="J17" s="4" t="s">
        <v>98</v>
      </c>
      <c r="K17" s="4" t="s">
        <v>99</v>
      </c>
      <c r="L17" s="5">
        <f>Table1[[#This Row],[MITRE-Mapped Alerts]] / Table1[[#This Row],[Total Predicted Anomaly Alerts]]</f>
        <v>0.88566552901023887</v>
      </c>
      <c r="M17" s="6">
        <f>Table1[[#This Row],[False Positives]] / Table1[[#This Row],[Total Predicted Anomaly Alerts]]</f>
        <v>0.16552901023890784</v>
      </c>
      <c r="N17" s="5">
        <f>Table1[[#This Row],[True Positives]] / Table1[[#This Row],[Total Predicted Anomaly Alerts]]</f>
        <v>0.83447098976109213</v>
      </c>
    </row>
    <row r="18" spans="1:14">
      <c r="A18" s="4">
        <v>44</v>
      </c>
      <c r="B18" s="4">
        <v>500</v>
      </c>
      <c r="C18" s="4">
        <v>13</v>
      </c>
      <c r="D18" s="4">
        <v>5</v>
      </c>
      <c r="E18" s="4">
        <v>489</v>
      </c>
      <c r="F18" s="4">
        <v>105</v>
      </c>
      <c r="G18" s="4">
        <v>594</v>
      </c>
      <c r="H18" s="4">
        <v>522</v>
      </c>
      <c r="I18" s="4">
        <v>72</v>
      </c>
      <c r="J18" s="4" t="s">
        <v>88</v>
      </c>
      <c r="K18" s="4" t="s">
        <v>89</v>
      </c>
      <c r="L18" s="5">
        <f>Table1[[#This Row],[MITRE-Mapped Alerts]] / Table1[[#This Row],[Total Predicted Anomaly Alerts]]</f>
        <v>0.87878787878787878</v>
      </c>
      <c r="M18" s="6">
        <f>Table1[[#This Row],[False Positives]] / Table1[[#This Row],[Total Predicted Anomaly Alerts]]</f>
        <v>0.17676767676767677</v>
      </c>
      <c r="N18" s="5">
        <f>Table1[[#This Row],[True Positives]] / Table1[[#This Row],[Total Predicted Anomaly Alerts]]</f>
        <v>0.8232323232323232</v>
      </c>
    </row>
    <row r="19" spans="1:14">
      <c r="A19" s="4">
        <v>53</v>
      </c>
      <c r="B19" s="4">
        <v>500</v>
      </c>
      <c r="C19" s="4">
        <v>20</v>
      </c>
      <c r="D19" s="4">
        <v>5</v>
      </c>
      <c r="E19" s="4">
        <v>489</v>
      </c>
      <c r="F19" s="4">
        <v>102</v>
      </c>
      <c r="G19" s="4">
        <v>591</v>
      </c>
      <c r="H19" s="4">
        <v>521</v>
      </c>
      <c r="I19" s="4">
        <v>70</v>
      </c>
      <c r="J19" s="4" t="s">
        <v>102</v>
      </c>
      <c r="K19" s="4" t="s">
        <v>103</v>
      </c>
      <c r="L19" s="5">
        <f>Table1[[#This Row],[MITRE-Mapped Alerts]] / Table1[[#This Row],[Total Predicted Anomaly Alerts]]</f>
        <v>0.88155668358714045</v>
      </c>
      <c r="M19" s="6">
        <f>Table1[[#This Row],[False Positives]] / Table1[[#This Row],[Total Predicted Anomaly Alerts]]</f>
        <v>0.17258883248730963</v>
      </c>
      <c r="N19" s="5">
        <f>Table1[[#This Row],[True Positives]] / Table1[[#This Row],[Total Predicted Anomaly Alerts]]</f>
        <v>0.82741116751269039</v>
      </c>
    </row>
    <row r="20" spans="1:14">
      <c r="A20" s="4">
        <v>36</v>
      </c>
      <c r="B20" s="4">
        <v>500</v>
      </c>
      <c r="C20" s="4">
        <v>7</v>
      </c>
      <c r="D20" s="4">
        <v>7</v>
      </c>
      <c r="E20" s="4">
        <v>488</v>
      </c>
      <c r="F20" s="4">
        <v>127</v>
      </c>
      <c r="G20" s="4">
        <v>615</v>
      </c>
      <c r="H20" s="4">
        <v>526</v>
      </c>
      <c r="I20" s="4">
        <v>89</v>
      </c>
      <c r="J20" s="4" t="s">
        <v>72</v>
      </c>
      <c r="K20" s="4" t="s">
        <v>73</v>
      </c>
      <c r="L20" s="5">
        <f>Table1[[#This Row],[MITRE-Mapped Alerts]] / Table1[[#This Row],[Total Predicted Anomaly Alerts]]</f>
        <v>0.8552845528455284</v>
      </c>
      <c r="M20" s="6">
        <f>Table1[[#This Row],[False Positives]] / Table1[[#This Row],[Total Predicted Anomaly Alerts]]</f>
        <v>0.20650406504065041</v>
      </c>
      <c r="N20" s="5">
        <f>Table1[[#This Row],[True Positives]] / Table1[[#This Row],[Total Predicted Anomaly Alerts]]</f>
        <v>0.79349593495934956</v>
      </c>
    </row>
    <row r="21" spans="1:14">
      <c r="A21" s="4">
        <v>41</v>
      </c>
      <c r="B21" s="4">
        <v>300</v>
      </c>
      <c r="C21" s="4">
        <v>13</v>
      </c>
      <c r="D21" s="4">
        <v>5</v>
      </c>
      <c r="E21" s="4">
        <v>489</v>
      </c>
      <c r="F21" s="4">
        <v>103</v>
      </c>
      <c r="G21" s="4">
        <v>592</v>
      </c>
      <c r="H21" s="4">
        <v>524</v>
      </c>
      <c r="I21" s="4">
        <v>68</v>
      </c>
      <c r="J21" s="4" t="s">
        <v>82</v>
      </c>
      <c r="K21" s="4" t="s">
        <v>83</v>
      </c>
      <c r="L21" s="5">
        <f>Table1[[#This Row],[MITRE-Mapped Alerts]] / Table1[[#This Row],[Total Predicted Anomaly Alerts]]</f>
        <v>0.88513513513513509</v>
      </c>
      <c r="M21" s="6">
        <f>Table1[[#This Row],[False Positives]] / Table1[[#This Row],[Total Predicted Anomaly Alerts]]</f>
        <v>0.17398648648648649</v>
      </c>
      <c r="N21" s="5">
        <f>Table1[[#This Row],[True Positives]] / Table1[[#This Row],[Total Predicted Anomaly Alerts]]</f>
        <v>0.82601351351351349</v>
      </c>
    </row>
    <row r="22" spans="1:14">
      <c r="A22" s="4">
        <v>35</v>
      </c>
      <c r="B22" s="4">
        <v>500</v>
      </c>
      <c r="C22" s="4">
        <v>7</v>
      </c>
      <c r="D22" s="4">
        <v>5</v>
      </c>
      <c r="E22" s="4">
        <v>492</v>
      </c>
      <c r="F22" s="4">
        <v>115</v>
      </c>
      <c r="G22" s="4">
        <v>607</v>
      </c>
      <c r="H22" s="4">
        <v>527</v>
      </c>
      <c r="I22" s="4">
        <v>80</v>
      </c>
      <c r="J22" s="4" t="s">
        <v>70</v>
      </c>
      <c r="K22" s="4" t="s">
        <v>71</v>
      </c>
      <c r="L22" s="5">
        <f>Table1[[#This Row],[MITRE-Mapped Alerts]] / Table1[[#This Row],[Total Predicted Anomaly Alerts]]</f>
        <v>0.86820428336079081</v>
      </c>
      <c r="M22" s="6">
        <f>Table1[[#This Row],[False Positives]] / Table1[[#This Row],[Total Predicted Anomaly Alerts]]</f>
        <v>0.18945634266886327</v>
      </c>
      <c r="N22" s="5">
        <f>Table1[[#This Row],[True Positives]] / Table1[[#This Row],[Total Predicted Anomaly Alerts]]</f>
        <v>0.81054365733113676</v>
      </c>
    </row>
    <row r="23" spans="1:14">
      <c r="A23" s="4">
        <v>27</v>
      </c>
      <c r="B23" s="4">
        <v>500</v>
      </c>
      <c r="C23" s="4">
        <v>5</v>
      </c>
      <c r="D23" s="4">
        <v>7</v>
      </c>
      <c r="E23" s="4">
        <v>492</v>
      </c>
      <c r="F23" s="4">
        <v>132</v>
      </c>
      <c r="G23" s="4">
        <v>624</v>
      </c>
      <c r="H23" s="4">
        <v>531</v>
      </c>
      <c r="I23" s="4">
        <v>93</v>
      </c>
      <c r="J23" s="4" t="s">
        <v>58</v>
      </c>
      <c r="K23" s="4" t="s">
        <v>59</v>
      </c>
      <c r="L23" s="5">
        <f>Table1[[#This Row],[MITRE-Mapped Alerts]] / Table1[[#This Row],[Total Predicted Anomaly Alerts]]</f>
        <v>0.85096153846153844</v>
      </c>
      <c r="M23" s="6">
        <f>Table1[[#This Row],[False Positives]] / Table1[[#This Row],[Total Predicted Anomaly Alerts]]</f>
        <v>0.21153846153846154</v>
      </c>
      <c r="N23" s="5">
        <f>Table1[[#This Row],[True Positives]] / Table1[[#This Row],[Total Predicted Anomaly Alerts]]</f>
        <v>0.78846153846153844</v>
      </c>
    </row>
    <row r="24" spans="1:14">
      <c r="A24" s="4">
        <v>18</v>
      </c>
      <c r="B24" s="4">
        <v>500</v>
      </c>
      <c r="C24" s="4">
        <v>3</v>
      </c>
      <c r="D24" s="4">
        <v>7</v>
      </c>
      <c r="E24" s="4">
        <v>492</v>
      </c>
      <c r="F24" s="4">
        <v>141</v>
      </c>
      <c r="G24" s="4">
        <v>633</v>
      </c>
      <c r="H24" s="4">
        <v>537</v>
      </c>
      <c r="I24" s="4">
        <v>96</v>
      </c>
      <c r="J24" s="4" t="s">
        <v>40</v>
      </c>
      <c r="K24" s="4" t="s">
        <v>41</v>
      </c>
      <c r="L24" s="5">
        <f>Table1[[#This Row],[MITRE-Mapped Alerts]] / Table1[[#This Row],[Total Predicted Anomaly Alerts]]</f>
        <v>0.84834123222748814</v>
      </c>
      <c r="M24" s="6">
        <f>Table1[[#This Row],[False Positives]] / Table1[[#This Row],[Total Predicted Anomaly Alerts]]</f>
        <v>0.22274881516587677</v>
      </c>
      <c r="N24" s="5">
        <f>Table1[[#This Row],[True Positives]] / Table1[[#This Row],[Total Predicted Anomaly Alerts]]</f>
        <v>0.77725118483412325</v>
      </c>
    </row>
    <row r="25" spans="1:14">
      <c r="A25" s="4">
        <v>32</v>
      </c>
      <c r="B25" s="4">
        <v>300</v>
      </c>
      <c r="C25" s="4">
        <v>7</v>
      </c>
      <c r="D25" s="4">
        <v>5</v>
      </c>
      <c r="E25" s="4">
        <v>536</v>
      </c>
      <c r="F25" s="4">
        <v>112</v>
      </c>
      <c r="G25" s="4">
        <v>648</v>
      </c>
      <c r="H25" s="4">
        <v>571</v>
      </c>
      <c r="I25" s="4">
        <v>77</v>
      </c>
      <c r="J25" s="4" t="s">
        <v>64</v>
      </c>
      <c r="K25" s="4" t="s">
        <v>65</v>
      </c>
      <c r="L25" s="5">
        <f>Table1[[#This Row],[MITRE-Mapped Alerts]] / Table1[[#This Row],[Total Predicted Anomaly Alerts]]</f>
        <v>0.88117283950617287</v>
      </c>
      <c r="M25" s="6">
        <f>Table1[[#This Row],[False Positives]] / Table1[[#This Row],[Total Predicted Anomaly Alerts]]</f>
        <v>0.1728395061728395</v>
      </c>
      <c r="N25" s="5">
        <f>Table1[[#This Row],[True Positives]] / Table1[[#This Row],[Total Predicted Anomaly Alerts]]</f>
        <v>0.8271604938271605</v>
      </c>
    </row>
    <row r="26" spans="1:14">
      <c r="A26" s="4">
        <v>26</v>
      </c>
      <c r="B26" s="4">
        <v>500</v>
      </c>
      <c r="C26" s="4">
        <v>5</v>
      </c>
      <c r="D26" s="4">
        <v>5</v>
      </c>
      <c r="E26" s="4">
        <v>567</v>
      </c>
      <c r="F26" s="4">
        <v>130</v>
      </c>
      <c r="G26" s="4">
        <v>697</v>
      </c>
      <c r="H26" s="4">
        <v>609</v>
      </c>
      <c r="I26" s="4">
        <v>88</v>
      </c>
      <c r="J26" s="4" t="s">
        <v>56</v>
      </c>
      <c r="K26" s="4" t="s">
        <v>57</v>
      </c>
      <c r="L26" s="5">
        <f>Table1[[#This Row],[MITRE-Mapped Alerts]] / Table1[[#This Row],[Total Predicted Anomaly Alerts]]</f>
        <v>0.8737446197991392</v>
      </c>
      <c r="M26" s="6">
        <f>Table1[[#This Row],[False Positives]] / Table1[[#This Row],[Total Predicted Anomaly Alerts]]</f>
        <v>0.18651362984218078</v>
      </c>
      <c r="N26" s="5">
        <f>Table1[[#This Row],[True Positives]] / Table1[[#This Row],[Total Predicted Anomaly Alerts]]</f>
        <v>0.81348637015781922</v>
      </c>
    </row>
    <row r="27" spans="1:14">
      <c r="A27" s="4">
        <v>23</v>
      </c>
      <c r="B27" s="4">
        <v>300</v>
      </c>
      <c r="C27" s="4">
        <v>5</v>
      </c>
      <c r="D27" s="4">
        <v>5</v>
      </c>
      <c r="E27" s="4">
        <v>564</v>
      </c>
      <c r="F27" s="4">
        <v>141</v>
      </c>
      <c r="G27" s="4">
        <v>705</v>
      </c>
      <c r="H27" s="4">
        <v>608</v>
      </c>
      <c r="I27" s="4">
        <v>97</v>
      </c>
      <c r="J27" s="4" t="s">
        <v>50</v>
      </c>
      <c r="K27" s="4" t="s">
        <v>51</v>
      </c>
      <c r="L27" s="5">
        <f>Table1[[#This Row],[MITRE-Mapped Alerts]] / Table1[[#This Row],[Total Predicted Anomaly Alerts]]</f>
        <v>0.86241134751773052</v>
      </c>
      <c r="M27" s="6">
        <f>Table1[[#This Row],[False Positives]] / Table1[[#This Row],[Total Predicted Anomaly Alerts]]</f>
        <v>0.2</v>
      </c>
      <c r="N27" s="5">
        <f>Table1[[#This Row],[True Positives]] / Table1[[#This Row],[Total Predicted Anomaly Alerts]]</f>
        <v>0.8</v>
      </c>
    </row>
    <row r="28" spans="1:14">
      <c r="A28" s="4">
        <v>14</v>
      </c>
      <c r="B28" s="4">
        <v>300</v>
      </c>
      <c r="C28" s="4">
        <v>3</v>
      </c>
      <c r="D28" s="4">
        <v>5</v>
      </c>
      <c r="E28" s="4">
        <v>567</v>
      </c>
      <c r="F28" s="4">
        <v>207</v>
      </c>
      <c r="G28" s="4">
        <v>774</v>
      </c>
      <c r="H28" s="4">
        <v>650</v>
      </c>
      <c r="I28" s="4">
        <v>124</v>
      </c>
      <c r="J28" s="4" t="s">
        <v>32</v>
      </c>
      <c r="K28" s="4" t="s">
        <v>33</v>
      </c>
      <c r="L28" s="5">
        <f>Table1[[#This Row],[MITRE-Mapped Alerts]] / Table1[[#This Row],[Total Predicted Anomaly Alerts]]</f>
        <v>0.83979328165374678</v>
      </c>
      <c r="M28" s="6">
        <f>Table1[[#This Row],[False Positives]] / Table1[[#This Row],[Total Predicted Anomaly Alerts]]</f>
        <v>0.26744186046511625</v>
      </c>
      <c r="N28" s="5">
        <f>Table1[[#This Row],[True Positives]] / Table1[[#This Row],[Total Predicted Anomaly Alerts]]</f>
        <v>0.73255813953488369</v>
      </c>
    </row>
    <row r="29" spans="1:14">
      <c r="A29" s="4">
        <v>33</v>
      </c>
      <c r="B29" s="4">
        <v>300</v>
      </c>
      <c r="C29" s="4">
        <v>7</v>
      </c>
      <c r="D29" s="4">
        <v>7</v>
      </c>
      <c r="E29" s="4">
        <v>479</v>
      </c>
      <c r="F29" s="4">
        <v>126</v>
      </c>
      <c r="G29" s="4">
        <v>605</v>
      </c>
      <c r="H29" s="4">
        <v>515</v>
      </c>
      <c r="I29" s="4">
        <v>90</v>
      </c>
      <c r="J29" s="4" t="s">
        <v>66</v>
      </c>
      <c r="K29" s="4" t="s">
        <v>67</v>
      </c>
      <c r="L29" s="5">
        <f>Table1[[#This Row],[MITRE-Mapped Alerts]] / Table1[[#This Row],[Total Predicted Anomaly Alerts]]</f>
        <v>0.85123966942148765</v>
      </c>
      <c r="M29" s="6">
        <f>Table1[[#This Row],[False Positives]] / Table1[[#This Row],[Total Predicted Anomaly Alerts]]</f>
        <v>0.20826446280991737</v>
      </c>
      <c r="N29" s="5">
        <f>Table1[[#This Row],[True Positives]] / Table1[[#This Row],[Total Predicted Anomaly Alerts]]</f>
        <v>0.79173553719008261</v>
      </c>
    </row>
    <row r="30" spans="1:14">
      <c r="A30" s="4">
        <v>24</v>
      </c>
      <c r="B30" s="4">
        <v>300</v>
      </c>
      <c r="C30" s="4">
        <v>5</v>
      </c>
      <c r="D30" s="4">
        <v>7</v>
      </c>
      <c r="E30" s="4">
        <v>479</v>
      </c>
      <c r="F30" s="4">
        <v>133</v>
      </c>
      <c r="G30" s="4">
        <v>612</v>
      </c>
      <c r="H30" s="4">
        <v>520</v>
      </c>
      <c r="I30" s="4">
        <v>92</v>
      </c>
      <c r="J30" s="4" t="s">
        <v>52</v>
      </c>
      <c r="K30" s="4" t="s">
        <v>53</v>
      </c>
      <c r="L30" s="5">
        <f>Table1[[#This Row],[MITRE-Mapped Alerts]] / Table1[[#This Row],[Total Predicted Anomaly Alerts]]</f>
        <v>0.84967320261437906</v>
      </c>
      <c r="M30" s="6">
        <f>Table1[[#This Row],[False Positives]] / Table1[[#This Row],[Total Predicted Anomaly Alerts]]</f>
        <v>0.2173202614379085</v>
      </c>
      <c r="N30" s="5">
        <f>Table1[[#This Row],[True Positives]] / Table1[[#This Row],[Total Predicted Anomaly Alerts]]</f>
        <v>0.7826797385620915</v>
      </c>
    </row>
    <row r="31" spans="1:14">
      <c r="A31" s="4">
        <v>15</v>
      </c>
      <c r="B31" s="4">
        <v>300</v>
      </c>
      <c r="C31" s="4">
        <v>3</v>
      </c>
      <c r="D31" s="4">
        <v>7</v>
      </c>
      <c r="E31" s="4">
        <v>489</v>
      </c>
      <c r="F31" s="4">
        <v>150</v>
      </c>
      <c r="G31" s="4">
        <v>639</v>
      </c>
      <c r="H31" s="4">
        <v>538</v>
      </c>
      <c r="I31" s="4">
        <v>101</v>
      </c>
      <c r="J31" s="4" t="s">
        <v>34</v>
      </c>
      <c r="K31" s="4" t="s">
        <v>35</v>
      </c>
      <c r="L31" s="5">
        <f>Table1[[#This Row],[MITRE-Mapped Alerts]] / Table1[[#This Row],[Total Predicted Anomaly Alerts]]</f>
        <v>0.8419405320813772</v>
      </c>
      <c r="M31" s="6">
        <f>Table1[[#This Row],[False Positives]] / Table1[[#This Row],[Total Predicted Anomaly Alerts]]</f>
        <v>0.23474178403755869</v>
      </c>
      <c r="N31" s="5">
        <f>Table1[[#This Row],[True Positives]] / Table1[[#This Row],[Total Predicted Anomaly Alerts]]</f>
        <v>0.76525821596244137</v>
      </c>
    </row>
    <row r="32" spans="1:14">
      <c r="A32" s="4">
        <v>39</v>
      </c>
      <c r="B32" s="4">
        <v>100</v>
      </c>
      <c r="C32" s="4">
        <v>13</v>
      </c>
      <c r="D32" s="4">
        <v>7</v>
      </c>
      <c r="E32" s="4">
        <v>479</v>
      </c>
      <c r="F32" s="4">
        <v>140</v>
      </c>
      <c r="G32" s="4">
        <v>619</v>
      </c>
      <c r="H32" s="4">
        <v>534</v>
      </c>
      <c r="I32" s="4">
        <v>85</v>
      </c>
      <c r="J32" s="4" t="s">
        <v>78</v>
      </c>
      <c r="K32" s="4" t="s">
        <v>79</v>
      </c>
      <c r="L32" s="5">
        <f>Table1[[#This Row],[MITRE-Mapped Alerts]] / Table1[[#This Row],[Total Predicted Anomaly Alerts]]</f>
        <v>0.86268174474959614</v>
      </c>
      <c r="M32" s="6">
        <f>Table1[[#This Row],[False Positives]] / Table1[[#This Row],[Total Predicted Anomaly Alerts]]</f>
        <v>0.22617124394184168</v>
      </c>
      <c r="N32" s="5">
        <f>Table1[[#This Row],[True Positives]] / Table1[[#This Row],[Total Predicted Anomaly Alerts]]</f>
        <v>0.77382875605815837</v>
      </c>
    </row>
    <row r="33" spans="1:14">
      <c r="A33" s="4">
        <v>30</v>
      </c>
      <c r="B33" s="4">
        <v>100</v>
      </c>
      <c r="C33" s="4">
        <v>7</v>
      </c>
      <c r="D33" s="4">
        <v>7</v>
      </c>
      <c r="E33" s="4">
        <v>492</v>
      </c>
      <c r="F33" s="4">
        <v>143</v>
      </c>
      <c r="G33" s="4">
        <v>635</v>
      </c>
      <c r="H33" s="4">
        <v>548</v>
      </c>
      <c r="I33" s="4">
        <v>87</v>
      </c>
      <c r="J33" s="4" t="s">
        <v>60</v>
      </c>
      <c r="K33" s="4" t="s">
        <v>61</v>
      </c>
      <c r="L33" s="5">
        <f>Table1[[#This Row],[MITRE-Mapped Alerts]] / Table1[[#This Row],[Total Predicted Anomaly Alerts]]</f>
        <v>0.86299212598425201</v>
      </c>
      <c r="M33" s="6">
        <f>Table1[[#This Row],[False Positives]] / Table1[[#This Row],[Total Predicted Anomaly Alerts]]</f>
        <v>0.2251968503937008</v>
      </c>
      <c r="N33" s="5">
        <f>Table1[[#This Row],[True Positives]] / Table1[[#This Row],[Total Predicted Anomaly Alerts]]</f>
        <v>0.77480314960629926</v>
      </c>
    </row>
    <row r="34" spans="1:14">
      <c r="A34" s="4">
        <v>21</v>
      </c>
      <c r="B34" s="4">
        <v>100</v>
      </c>
      <c r="C34" s="4">
        <v>5</v>
      </c>
      <c r="D34" s="4">
        <v>7</v>
      </c>
      <c r="E34" s="4">
        <v>492</v>
      </c>
      <c r="F34" s="4">
        <v>147</v>
      </c>
      <c r="G34" s="4">
        <v>639</v>
      </c>
      <c r="H34" s="4">
        <v>549</v>
      </c>
      <c r="I34" s="4">
        <v>90</v>
      </c>
      <c r="J34" s="4" t="s">
        <v>46</v>
      </c>
      <c r="K34" s="4" t="s">
        <v>47</v>
      </c>
      <c r="L34" s="5">
        <f>Table1[[#This Row],[MITRE-Mapped Alerts]] / Table1[[#This Row],[Total Predicted Anomaly Alerts]]</f>
        <v>0.85915492957746475</v>
      </c>
      <c r="M34" s="6">
        <f>Table1[[#This Row],[False Positives]] / Table1[[#This Row],[Total Predicted Anomaly Alerts]]</f>
        <v>0.2300469483568075</v>
      </c>
      <c r="N34" s="5">
        <f>Table1[[#This Row],[True Positives]] / Table1[[#This Row],[Total Predicted Anomaly Alerts]]</f>
        <v>0.7699530516431925</v>
      </c>
    </row>
    <row r="35" spans="1:14">
      <c r="A35" s="4">
        <v>29</v>
      </c>
      <c r="B35" s="4">
        <v>100</v>
      </c>
      <c r="C35" s="4">
        <v>7</v>
      </c>
      <c r="D35" s="4">
        <v>5</v>
      </c>
      <c r="E35" s="4">
        <v>564</v>
      </c>
      <c r="F35" s="4">
        <v>157</v>
      </c>
      <c r="G35" s="4">
        <v>721</v>
      </c>
      <c r="H35" s="4">
        <v>625</v>
      </c>
      <c r="I35" s="4">
        <v>96</v>
      </c>
      <c r="J35" s="4" t="s">
        <v>44</v>
      </c>
      <c r="K35" s="4" t="s">
        <v>45</v>
      </c>
      <c r="L35" s="5">
        <f>Table1[[#This Row],[MITRE-Mapped Alerts]] / Table1[[#This Row],[Total Predicted Anomaly Alerts]]</f>
        <v>0.86685159500693476</v>
      </c>
      <c r="M35" s="6">
        <f>Table1[[#This Row],[False Positives]] / Table1[[#This Row],[Total Predicted Anomaly Alerts]]</f>
        <v>0.21775312066574201</v>
      </c>
      <c r="N35" s="5">
        <f>Table1[[#This Row],[True Positives]] / Table1[[#This Row],[Total Predicted Anomaly Alerts]]</f>
        <v>0.78224687933425796</v>
      </c>
    </row>
    <row r="36" spans="1:14">
      <c r="A36" s="4">
        <v>20</v>
      </c>
      <c r="B36" s="4">
        <v>100</v>
      </c>
      <c r="C36" s="4">
        <v>5</v>
      </c>
      <c r="D36" s="4">
        <v>5</v>
      </c>
      <c r="E36" s="4">
        <v>564</v>
      </c>
      <c r="F36" s="4">
        <v>167</v>
      </c>
      <c r="G36" s="4">
        <v>731</v>
      </c>
      <c r="H36" s="4">
        <v>625</v>
      </c>
      <c r="I36" s="4">
        <v>106</v>
      </c>
      <c r="J36" s="4" t="s">
        <v>44</v>
      </c>
      <c r="K36" s="4" t="s">
        <v>45</v>
      </c>
      <c r="L36" s="5">
        <f>Table1[[#This Row],[MITRE-Mapped Alerts]] / Table1[[#This Row],[Total Predicted Anomaly Alerts]]</f>
        <v>0.85499316005471959</v>
      </c>
      <c r="M36" s="6">
        <f>Table1[[#This Row],[False Positives]] / Table1[[#This Row],[Total Predicted Anomaly Alerts]]</f>
        <v>0.22845417236662108</v>
      </c>
      <c r="N36" s="5">
        <f>Table1[[#This Row],[True Positives]] / Table1[[#This Row],[Total Predicted Anomaly Alerts]]</f>
        <v>0.77154582763337898</v>
      </c>
    </row>
    <row r="37" spans="1:14">
      <c r="A37" s="4">
        <v>11</v>
      </c>
      <c r="B37" s="4">
        <v>100</v>
      </c>
      <c r="C37" s="4">
        <v>3</v>
      </c>
      <c r="D37" s="4">
        <v>5</v>
      </c>
      <c r="E37" s="4">
        <v>567</v>
      </c>
      <c r="F37" s="4">
        <v>205</v>
      </c>
      <c r="G37" s="4">
        <v>772</v>
      </c>
      <c r="H37" s="4">
        <v>629</v>
      </c>
      <c r="I37" s="4">
        <v>143</v>
      </c>
      <c r="J37" s="4" t="s">
        <v>28</v>
      </c>
      <c r="K37" s="4" t="s">
        <v>29</v>
      </c>
      <c r="L37" s="5">
        <f>Table1[[#This Row],[MITRE-Mapped Alerts]] / Table1[[#This Row],[Total Predicted Anomaly Alerts]]</f>
        <v>0.81476683937823835</v>
      </c>
      <c r="M37" s="6">
        <f>Table1[[#This Row],[False Positives]] / Table1[[#This Row],[Total Predicted Anomaly Alerts]]</f>
        <v>0.2655440414507772</v>
      </c>
      <c r="N37" s="5">
        <f>Table1[[#This Row],[True Positives]] / Table1[[#This Row],[Total Predicted Anomaly Alerts]]</f>
        <v>0.73445595854922274</v>
      </c>
    </row>
    <row r="38" spans="1:14">
      <c r="A38" s="4">
        <v>6</v>
      </c>
      <c r="B38" s="4">
        <v>300</v>
      </c>
      <c r="C38" s="4">
        <v>1</v>
      </c>
      <c r="D38" s="4">
        <v>7</v>
      </c>
      <c r="E38" s="4">
        <v>777</v>
      </c>
      <c r="F38" s="4">
        <v>239</v>
      </c>
      <c r="G38" s="4">
        <v>1016</v>
      </c>
      <c r="H38" s="4">
        <v>881</v>
      </c>
      <c r="I38" s="4">
        <v>135</v>
      </c>
      <c r="J38" s="4" t="s">
        <v>18</v>
      </c>
      <c r="K38" s="4" t="s">
        <v>19</v>
      </c>
      <c r="L38" s="5">
        <f>Table1[[#This Row],[MITRE-Mapped Alerts]] / Table1[[#This Row],[Total Predicted Anomaly Alerts]]</f>
        <v>0.86712598425196852</v>
      </c>
      <c r="M38" s="6">
        <f>Table1[[#This Row],[False Positives]] / Table1[[#This Row],[Total Predicted Anomaly Alerts]]</f>
        <v>0.23523622047244094</v>
      </c>
      <c r="N38" s="5">
        <f>Table1[[#This Row],[True Positives]] / Table1[[#This Row],[Total Predicted Anomaly Alerts]]</f>
        <v>0.76476377952755903</v>
      </c>
    </row>
    <row r="39" spans="1:14">
      <c r="A39" s="4">
        <v>31</v>
      </c>
      <c r="B39" s="4">
        <v>300</v>
      </c>
      <c r="C39" s="4">
        <v>7</v>
      </c>
      <c r="D39" s="4">
        <v>3</v>
      </c>
      <c r="E39" s="4">
        <v>502</v>
      </c>
      <c r="F39" s="4">
        <v>175</v>
      </c>
      <c r="G39" s="4">
        <v>677</v>
      </c>
      <c r="H39" s="4">
        <v>542</v>
      </c>
      <c r="I39" s="4">
        <v>135</v>
      </c>
      <c r="J39" s="4" t="s">
        <v>62</v>
      </c>
      <c r="K39" s="4" t="s">
        <v>63</v>
      </c>
      <c r="L39" s="5">
        <f>Table1[[#This Row],[MITRE-Mapped Alerts]] / Table1[[#This Row],[Total Predicted Anomaly Alerts]]</f>
        <v>0.80059084194977848</v>
      </c>
      <c r="M39" s="6">
        <f>Table1[[#This Row],[False Positives]] / Table1[[#This Row],[Total Predicted Anomaly Alerts]]</f>
        <v>0.25849335302806498</v>
      </c>
      <c r="N39" s="5">
        <f>Table1[[#This Row],[True Positives]] / Table1[[#This Row],[Total Predicted Anomaly Alerts]]</f>
        <v>0.74150664697193502</v>
      </c>
    </row>
    <row r="40" spans="1:14">
      <c r="A40" s="4">
        <v>22</v>
      </c>
      <c r="B40" s="4">
        <v>300</v>
      </c>
      <c r="C40" s="4">
        <v>5</v>
      </c>
      <c r="D40" s="4">
        <v>3</v>
      </c>
      <c r="E40" s="4">
        <v>502</v>
      </c>
      <c r="F40" s="4">
        <v>200</v>
      </c>
      <c r="G40" s="4">
        <v>702</v>
      </c>
      <c r="H40" s="4">
        <v>544</v>
      </c>
      <c r="I40" s="4">
        <v>158</v>
      </c>
      <c r="J40" s="4" t="s">
        <v>48</v>
      </c>
      <c r="K40" s="4" t="s">
        <v>49</v>
      </c>
      <c r="L40" s="5">
        <f>Table1[[#This Row],[MITRE-Mapped Alerts]] / Table1[[#This Row],[Total Predicted Anomaly Alerts]]</f>
        <v>0.77492877492877488</v>
      </c>
      <c r="M40" s="6">
        <f>Table1[[#This Row],[False Positives]] / Table1[[#This Row],[Total Predicted Anomaly Alerts]]</f>
        <v>0.28490028490028491</v>
      </c>
      <c r="N40" s="5">
        <f>Table1[[#This Row],[True Positives]] / Table1[[#This Row],[Total Predicted Anomaly Alerts]]</f>
        <v>0.71509971509971515</v>
      </c>
    </row>
    <row r="41" spans="1:14">
      <c r="A41" s="4">
        <v>10</v>
      </c>
      <c r="B41" s="4">
        <v>100</v>
      </c>
      <c r="C41" s="4">
        <v>3</v>
      </c>
      <c r="D41" s="4">
        <v>3</v>
      </c>
      <c r="E41" s="4">
        <v>590</v>
      </c>
      <c r="F41" s="4">
        <v>211</v>
      </c>
      <c r="G41" s="4">
        <v>801</v>
      </c>
      <c r="H41" s="4">
        <v>653</v>
      </c>
      <c r="I41" s="4">
        <v>148</v>
      </c>
      <c r="J41" s="4" t="s">
        <v>26</v>
      </c>
      <c r="K41" s="4" t="s">
        <v>27</v>
      </c>
      <c r="L41" s="5">
        <f>Table1[[#This Row],[MITRE-Mapped Alerts]] / Table1[[#This Row],[Total Predicted Anomaly Alerts]]</f>
        <v>0.81523096129837702</v>
      </c>
      <c r="M41" s="6">
        <f>Table1[[#This Row],[False Positives]] / Table1[[#This Row],[Total Predicted Anomaly Alerts]]</f>
        <v>0.26342072409488138</v>
      </c>
      <c r="N41" s="5">
        <f>Table1[[#This Row],[True Positives]] / Table1[[#This Row],[Total Predicted Anomaly Alerts]]</f>
        <v>0.73657927590511862</v>
      </c>
    </row>
    <row r="42" spans="1:14">
      <c r="A42" s="4">
        <v>13</v>
      </c>
      <c r="B42" s="4">
        <v>300</v>
      </c>
      <c r="C42" s="4">
        <v>3</v>
      </c>
      <c r="D42" s="4">
        <v>3</v>
      </c>
      <c r="E42" s="4">
        <v>590</v>
      </c>
      <c r="F42" s="4">
        <v>224</v>
      </c>
      <c r="G42" s="4">
        <v>814</v>
      </c>
      <c r="H42" s="4">
        <v>653</v>
      </c>
      <c r="I42" s="4">
        <v>161</v>
      </c>
      <c r="J42" s="4" t="s">
        <v>26</v>
      </c>
      <c r="K42" s="4" t="s">
        <v>27</v>
      </c>
      <c r="L42" s="5">
        <f>Table1[[#This Row],[MITRE-Mapped Alerts]] / Table1[[#This Row],[Total Predicted Anomaly Alerts]]</f>
        <v>0.80221130221130221</v>
      </c>
      <c r="M42" s="6">
        <f>Table1[[#This Row],[False Positives]] / Table1[[#This Row],[Total Predicted Anomaly Alerts]]</f>
        <v>0.27518427518427518</v>
      </c>
      <c r="N42" s="5">
        <f>Table1[[#This Row],[True Positives]] / Table1[[#This Row],[Total Predicted Anomaly Alerts]]</f>
        <v>0.72481572481572487</v>
      </c>
    </row>
    <row r="43" spans="1:14">
      <c r="A43" s="4">
        <v>4</v>
      </c>
      <c r="B43" s="4">
        <v>300</v>
      </c>
      <c r="C43" s="4">
        <v>1</v>
      </c>
      <c r="D43" s="4">
        <v>3</v>
      </c>
      <c r="E43" s="4">
        <v>800</v>
      </c>
      <c r="F43" s="4">
        <v>269</v>
      </c>
      <c r="G43" s="4">
        <v>1069</v>
      </c>
      <c r="H43" s="4">
        <v>903</v>
      </c>
      <c r="I43" s="4">
        <v>166</v>
      </c>
      <c r="J43" s="4" t="s">
        <v>14</v>
      </c>
      <c r="K43" s="4" t="s">
        <v>15</v>
      </c>
      <c r="L43" s="5">
        <f>Table1[[#This Row],[MITRE-Mapped Alerts]] / Table1[[#This Row],[Total Predicted Anomaly Alerts]]</f>
        <v>0.84471468662301219</v>
      </c>
      <c r="M43" s="6">
        <f>Table1[[#This Row],[False Positives]] / Table1[[#This Row],[Total Predicted Anomaly Alerts]]</f>
        <v>0.25163704396632369</v>
      </c>
      <c r="N43" s="5">
        <f>Table1[[#This Row],[True Positives]] / Table1[[#This Row],[Total Predicted Anomaly Alerts]]</f>
        <v>0.74836295603367631</v>
      </c>
    </row>
    <row r="44" spans="1:14">
      <c r="A44" s="4">
        <v>1</v>
      </c>
      <c r="B44" s="4">
        <v>100</v>
      </c>
      <c r="C44" s="4">
        <v>1</v>
      </c>
      <c r="D44" s="4">
        <v>3</v>
      </c>
      <c r="E44" s="4">
        <v>800</v>
      </c>
      <c r="F44" s="4">
        <v>270</v>
      </c>
      <c r="G44" s="4">
        <v>1070</v>
      </c>
      <c r="H44" s="4">
        <v>922</v>
      </c>
      <c r="I44" s="4">
        <v>148</v>
      </c>
      <c r="J44" s="4" t="s">
        <v>8</v>
      </c>
      <c r="K44" s="4" t="s">
        <v>9</v>
      </c>
      <c r="L44" s="6">
        <f>Table1[[#This Row],[MITRE-Mapped Alerts]] / Table1[[#This Row],[Total Predicted Anomaly Alerts]]</f>
        <v>0.86168224299065421</v>
      </c>
      <c r="M44" s="6">
        <f>Table1[[#This Row],[False Positives]] / Table1[[#This Row],[Total Predicted Anomaly Alerts]]</f>
        <v>0.25233644859813081</v>
      </c>
      <c r="N44" s="5">
        <f>Table1[[#This Row],[True Positives]] / Table1[[#This Row],[Total Predicted Anomaly Alerts]]</f>
        <v>0.74766355140186913</v>
      </c>
    </row>
    <row r="45" spans="1:14">
      <c r="A45" s="4">
        <v>25</v>
      </c>
      <c r="B45" s="4">
        <v>500</v>
      </c>
      <c r="C45" s="4">
        <v>5</v>
      </c>
      <c r="D45" s="4">
        <v>3</v>
      </c>
      <c r="E45" s="4">
        <v>502</v>
      </c>
      <c r="F45" s="4">
        <v>157</v>
      </c>
      <c r="G45" s="4">
        <v>659</v>
      </c>
      <c r="H45" s="4">
        <v>532</v>
      </c>
      <c r="I45" s="4">
        <v>127</v>
      </c>
      <c r="J45" s="4" t="s">
        <v>54</v>
      </c>
      <c r="K45" s="4" t="s">
        <v>55</v>
      </c>
      <c r="L45" s="5">
        <f>Table1[[#This Row],[MITRE-Mapped Alerts]] / Table1[[#This Row],[Total Predicted Anomaly Alerts]]</f>
        <v>0.80728376327769347</v>
      </c>
      <c r="M45" s="6">
        <f>Table1[[#This Row],[False Positives]] / Table1[[#This Row],[Total Predicted Anomaly Alerts]]</f>
        <v>0.23823975720789076</v>
      </c>
      <c r="N45" s="5">
        <f>Table1[[#This Row],[True Positives]] / Table1[[#This Row],[Total Predicted Anomaly Alerts]]</f>
        <v>0.7617602427921093</v>
      </c>
    </row>
    <row r="46" spans="1:14">
      <c r="A46" s="4">
        <v>34</v>
      </c>
      <c r="B46" s="4">
        <v>500</v>
      </c>
      <c r="C46" s="4">
        <v>7</v>
      </c>
      <c r="D46" s="4">
        <v>3</v>
      </c>
      <c r="E46" s="4">
        <v>502</v>
      </c>
      <c r="F46" s="4">
        <v>135</v>
      </c>
      <c r="G46" s="4">
        <v>637</v>
      </c>
      <c r="H46" s="4">
        <v>528</v>
      </c>
      <c r="I46" s="4">
        <v>109</v>
      </c>
      <c r="J46" s="4" t="s">
        <v>68</v>
      </c>
      <c r="K46" s="4" t="s">
        <v>69</v>
      </c>
      <c r="L46" s="5">
        <f>Table1[[#This Row],[MITRE-Mapped Alerts]] / Table1[[#This Row],[Total Predicted Anomaly Alerts]]</f>
        <v>0.82888540031397173</v>
      </c>
      <c r="M46" s="6">
        <f>Table1[[#This Row],[False Positives]] / Table1[[#This Row],[Total Predicted Anomaly Alerts]]</f>
        <v>0.2119309262166405</v>
      </c>
      <c r="N46" s="5">
        <f>Table1[[#This Row],[True Positives]] / Table1[[#This Row],[Total Predicted Anomaly Alerts]]</f>
        <v>0.78806907378335955</v>
      </c>
    </row>
    <row r="47" spans="1:14">
      <c r="A47" s="4">
        <v>16</v>
      </c>
      <c r="B47" s="4">
        <v>500</v>
      </c>
      <c r="C47" s="4">
        <v>3</v>
      </c>
      <c r="D47" s="4">
        <v>3</v>
      </c>
      <c r="E47" s="4">
        <v>590</v>
      </c>
      <c r="F47" s="4">
        <v>214</v>
      </c>
      <c r="G47" s="4">
        <v>804</v>
      </c>
      <c r="H47" s="4">
        <v>649</v>
      </c>
      <c r="I47" s="4">
        <v>155</v>
      </c>
      <c r="J47" s="4" t="s">
        <v>36</v>
      </c>
      <c r="K47" s="4" t="s">
        <v>37</v>
      </c>
      <c r="L47" s="5">
        <f>Table1[[#This Row],[MITRE-Mapped Alerts]] / Table1[[#This Row],[Total Predicted Anomaly Alerts]]</f>
        <v>0.80721393034825872</v>
      </c>
      <c r="M47" s="6">
        <f>Table1[[#This Row],[False Positives]] / Table1[[#This Row],[Total Predicted Anomaly Alerts]]</f>
        <v>0.26616915422885573</v>
      </c>
      <c r="N47" s="5">
        <f>Table1[[#This Row],[True Positives]] / Table1[[#This Row],[Total Predicted Anomaly Alerts]]</f>
        <v>0.73383084577114432</v>
      </c>
    </row>
    <row r="48" spans="1:14">
      <c r="A48" s="4">
        <v>17</v>
      </c>
      <c r="B48" s="4">
        <v>500</v>
      </c>
      <c r="C48" s="4">
        <v>3</v>
      </c>
      <c r="D48" s="4">
        <v>5</v>
      </c>
      <c r="E48" s="4">
        <v>590</v>
      </c>
      <c r="F48" s="4">
        <v>153</v>
      </c>
      <c r="G48" s="4">
        <v>743</v>
      </c>
      <c r="H48" s="4">
        <v>651</v>
      </c>
      <c r="I48" s="4">
        <v>92</v>
      </c>
      <c r="J48" s="4" t="s">
        <v>38</v>
      </c>
      <c r="K48" s="4" t="s">
        <v>39</v>
      </c>
      <c r="L48" s="5">
        <f>Table1[[#This Row],[MITRE-Mapped Alerts]] / Table1[[#This Row],[Total Predicted Anomaly Alerts]]</f>
        <v>0.87617765814266491</v>
      </c>
      <c r="M48" s="6">
        <f>Table1[[#This Row],[False Positives]] / Table1[[#This Row],[Total Predicted Anomaly Alerts]]</f>
        <v>0.20592193808882908</v>
      </c>
      <c r="N48" s="5">
        <f>Table1[[#This Row],[True Positives]] / Table1[[#This Row],[Total Predicted Anomaly Alerts]]</f>
        <v>0.79407806191117092</v>
      </c>
    </row>
    <row r="49" spans="1:16">
      <c r="A49" s="4">
        <v>9</v>
      </c>
      <c r="B49" s="4">
        <v>500</v>
      </c>
      <c r="C49" s="4">
        <v>1</v>
      </c>
      <c r="D49" s="4">
        <v>7</v>
      </c>
      <c r="E49" s="4">
        <v>800</v>
      </c>
      <c r="F49" s="4">
        <v>246</v>
      </c>
      <c r="G49" s="4">
        <v>1046</v>
      </c>
      <c r="H49" s="4">
        <v>898</v>
      </c>
      <c r="I49" s="4">
        <v>148</v>
      </c>
      <c r="J49" s="4" t="s">
        <v>24</v>
      </c>
      <c r="K49" s="4" t="s">
        <v>25</v>
      </c>
      <c r="L49" s="5">
        <f>Table1[[#This Row],[MITRE-Mapped Alerts]] / Table1[[#This Row],[Total Predicted Anomaly Alerts]]</f>
        <v>0.85850860420650099</v>
      </c>
      <c r="M49" s="6">
        <f>Table1[[#This Row],[False Positives]] / Table1[[#This Row],[Total Predicted Anomaly Alerts]]</f>
        <v>0.23518164435946462</v>
      </c>
      <c r="N49" s="5">
        <f>Table1[[#This Row],[True Positives]] / Table1[[#This Row],[Total Predicted Anomaly Alerts]]</f>
        <v>0.76481835564053535</v>
      </c>
    </row>
    <row r="50" spans="1:16">
      <c r="A50" s="4">
        <v>7</v>
      </c>
      <c r="B50" s="4">
        <v>500</v>
      </c>
      <c r="C50" s="4">
        <v>1</v>
      </c>
      <c r="D50" s="4">
        <v>3</v>
      </c>
      <c r="E50" s="4">
        <v>800</v>
      </c>
      <c r="F50" s="4">
        <v>800</v>
      </c>
      <c r="G50" s="4">
        <v>1600</v>
      </c>
      <c r="H50" s="4">
        <v>912</v>
      </c>
      <c r="I50" s="4">
        <v>688</v>
      </c>
      <c r="J50" s="4" t="s">
        <v>20</v>
      </c>
      <c r="K50" s="4" t="s">
        <v>21</v>
      </c>
      <c r="L50" s="5">
        <f>Table1[[#This Row],[MITRE-Mapped Alerts]] / Table1[[#This Row],[Total Predicted Anomaly Alerts]]</f>
        <v>0.56999999999999995</v>
      </c>
      <c r="M50" s="6">
        <f>Table1[[#This Row],[False Positives]] / Table1[[#This Row],[Total Predicted Anomaly Alerts]]</f>
        <v>0.5</v>
      </c>
      <c r="N50" s="5">
        <f>Table1[[#This Row],[True Positives]] / Table1[[#This Row],[Total Predicted Anomaly Alerts]]</f>
        <v>0.5</v>
      </c>
    </row>
    <row r="51" spans="1:16">
      <c r="A51" s="4">
        <v>8</v>
      </c>
      <c r="B51" s="4">
        <v>500</v>
      </c>
      <c r="C51" s="4">
        <v>1</v>
      </c>
      <c r="D51" s="4">
        <v>5</v>
      </c>
      <c r="E51" s="4">
        <v>800</v>
      </c>
      <c r="F51" s="4">
        <v>264</v>
      </c>
      <c r="G51" s="4">
        <v>1064</v>
      </c>
      <c r="H51" s="4">
        <v>908</v>
      </c>
      <c r="I51" s="4">
        <v>156</v>
      </c>
      <c r="J51" s="4" t="s">
        <v>22</v>
      </c>
      <c r="K51" s="4" t="s">
        <v>23</v>
      </c>
      <c r="L51" s="5">
        <f>Table1[[#This Row],[MITRE-Mapped Alerts]] / Table1[[#This Row],[Total Predicted Anomaly Alerts]]</f>
        <v>0.85338345864661658</v>
      </c>
      <c r="M51" s="6">
        <f>Table1[[#This Row],[False Positives]] / Table1[[#This Row],[Total Predicted Anomaly Alerts]]</f>
        <v>0.24812030075187969</v>
      </c>
      <c r="N51" s="5">
        <f>Table1[[#This Row],[True Positives]] / Table1[[#This Row],[Total Predicted Anomaly Alerts]]</f>
        <v>0.75187969924812026</v>
      </c>
    </row>
    <row r="52" spans="1:16">
      <c r="A52" s="4">
        <v>5</v>
      </c>
      <c r="B52" s="4">
        <v>300</v>
      </c>
      <c r="C52" s="4">
        <v>1</v>
      </c>
      <c r="D52" s="4">
        <v>5</v>
      </c>
      <c r="E52" s="4">
        <v>800</v>
      </c>
      <c r="F52" s="4">
        <v>240</v>
      </c>
      <c r="G52" s="4">
        <v>1040</v>
      </c>
      <c r="H52" s="4">
        <v>904</v>
      </c>
      <c r="I52" s="4">
        <v>136</v>
      </c>
      <c r="J52" s="4" t="s">
        <v>16</v>
      </c>
      <c r="K52" s="4" t="s">
        <v>17</v>
      </c>
      <c r="L52" s="5">
        <f>Table1[[#This Row],[MITRE-Mapped Alerts]] / Table1[[#This Row],[Total Predicted Anomaly Alerts]]</f>
        <v>0.86923076923076925</v>
      </c>
      <c r="M52" s="6">
        <f>Table1[[#This Row],[False Positives]] / Table1[[#This Row],[Total Predicted Anomaly Alerts]]</f>
        <v>0.23076923076923078</v>
      </c>
      <c r="N52" s="5">
        <f>Table1[[#This Row],[True Positives]] / Table1[[#This Row],[Total Predicted Anomaly Alerts]]</f>
        <v>0.76923076923076927</v>
      </c>
    </row>
    <row r="53" spans="1:16">
      <c r="A53" s="4">
        <v>12</v>
      </c>
      <c r="B53" s="4">
        <v>100</v>
      </c>
      <c r="C53" s="4">
        <v>3</v>
      </c>
      <c r="D53" s="4">
        <v>7</v>
      </c>
      <c r="E53" s="4">
        <v>515</v>
      </c>
      <c r="F53" s="4">
        <v>194</v>
      </c>
      <c r="G53" s="4">
        <v>709</v>
      </c>
      <c r="H53" s="4">
        <v>575</v>
      </c>
      <c r="I53" s="4">
        <v>134</v>
      </c>
      <c r="J53" s="4" t="s">
        <v>30</v>
      </c>
      <c r="K53" s="4" t="s">
        <v>31</v>
      </c>
      <c r="L53" s="5">
        <f>Table1[[#This Row],[MITRE-Mapped Alerts]] / Table1[[#This Row],[Total Predicted Anomaly Alerts]]</f>
        <v>0.8110014104372355</v>
      </c>
      <c r="M53" s="6">
        <f>Table1[[#This Row],[False Positives]] / Table1[[#This Row],[Total Predicted Anomaly Alerts]]</f>
        <v>0.27362482369534558</v>
      </c>
      <c r="N53" s="5">
        <f>Table1[[#This Row],[True Positives]] / Table1[[#This Row],[Total Predicted Anomaly Alerts]]</f>
        <v>0.72637517630465442</v>
      </c>
    </row>
    <row r="54" spans="1:16">
      <c r="A54" s="4">
        <v>2</v>
      </c>
      <c r="B54" s="4">
        <v>100</v>
      </c>
      <c r="C54" s="4">
        <v>1</v>
      </c>
      <c r="D54" s="4">
        <v>5</v>
      </c>
      <c r="E54" s="4">
        <v>800</v>
      </c>
      <c r="F54" s="4">
        <v>250</v>
      </c>
      <c r="G54" s="4">
        <v>1050</v>
      </c>
      <c r="H54" s="4">
        <v>895</v>
      </c>
      <c r="I54" s="4">
        <v>155</v>
      </c>
      <c r="J54" s="4" t="s">
        <v>10</v>
      </c>
      <c r="K54" s="4" t="s">
        <v>11</v>
      </c>
      <c r="L54" s="5">
        <f>Table1[[#This Row],[MITRE-Mapped Alerts]] / Table1[[#This Row],[Total Predicted Anomaly Alerts]]</f>
        <v>0.85238095238095235</v>
      </c>
      <c r="M54" s="6">
        <f>Table1[[#This Row],[False Positives]] / Table1[[#This Row],[Total Predicted Anomaly Alerts]]</f>
        <v>0.23809523809523808</v>
      </c>
      <c r="N54" s="5">
        <f>Table1[[#This Row],[True Positives]] / Table1[[#This Row],[Total Predicted Anomaly Alerts]]</f>
        <v>0.76190476190476186</v>
      </c>
    </row>
    <row r="55" spans="1:16">
      <c r="A55" s="4">
        <v>3</v>
      </c>
      <c r="B55" s="4">
        <v>100</v>
      </c>
      <c r="C55" s="4">
        <v>1</v>
      </c>
      <c r="D55" s="4">
        <v>7</v>
      </c>
      <c r="E55" s="4">
        <v>800</v>
      </c>
      <c r="F55" s="4">
        <v>273</v>
      </c>
      <c r="G55" s="4">
        <v>1073</v>
      </c>
      <c r="H55" s="4">
        <v>923</v>
      </c>
      <c r="I55" s="4">
        <v>150</v>
      </c>
      <c r="J55" s="4" t="s">
        <v>12</v>
      </c>
      <c r="K55" s="4" t="s">
        <v>13</v>
      </c>
      <c r="L55" s="5">
        <f>Table1[[#This Row],[MITRE-Mapped Alerts]] / Table1[[#This Row],[Total Predicted Anomaly Alerts]]</f>
        <v>0.86020503261882575</v>
      </c>
      <c r="M55" s="6">
        <f>Table1[[#This Row],[False Positives]] / Table1[[#This Row],[Total Predicted Anomaly Alerts]]</f>
        <v>0.25442684063373716</v>
      </c>
      <c r="N55" s="5">
        <f>Table1[[#This Row],[True Positives]] / Table1[[#This Row],[Total Predicted Anomaly Alerts]]</f>
        <v>0.74557315936626278</v>
      </c>
    </row>
    <row r="56" spans="1:16">
      <c r="I56"/>
      <c r="J56"/>
      <c r="L56" s="7"/>
      <c r="M56" s="7"/>
      <c r="N56" s="7"/>
    </row>
    <row r="57" spans="1:16">
      <c r="D57" s="14" t="s">
        <v>131</v>
      </c>
      <c r="E57" s="13">
        <f>IFERROR(--_xlfn.TEXTBEFORE(_xlfn.TEXTAFTER(J2,"T1133 ("),")"),0)</f>
        <v>10</v>
      </c>
      <c r="F57" s="15"/>
      <c r="G57" s="14" t="s">
        <v>130</v>
      </c>
      <c r="H57" s="15">
        <f>IFERROR(--_xlfn.TEXTBEFORE(_xlfn.TEXTAFTER(J2,"T1110 ("),")"),0)</f>
        <v>20</v>
      </c>
      <c r="I57" s="14" t="s">
        <v>132</v>
      </c>
      <c r="J57" s="14">
        <f>IFERROR(--_xlfn.TEXTBEFORE(_xlfn.TEXTAFTER(J2,"T1078 ("),")"),0)</f>
        <v>10</v>
      </c>
      <c r="K57" s="4" t="s">
        <v>134</v>
      </c>
      <c r="L57" s="4">
        <f>IFERROR(--_xlfn.TEXTBEFORE(_xlfn.TEXTAFTER(J2,"T1190 ("),")"),0)</f>
        <v>0</v>
      </c>
    </row>
    <row r="58" spans="1:16">
      <c r="E58" s="13">
        <f t="shared" ref="E58:E112" si="0">IFERROR(--_xlfn.TEXTBEFORE(_xlfn.TEXTAFTER(J3,"T1133 ("),")"),0)</f>
        <v>7</v>
      </c>
      <c r="H58" s="15">
        <f t="shared" ref="H58:H110" si="1">IFERROR(--_xlfn.TEXTBEFORE(_xlfn.TEXTAFTER(J3,"T1110 ("),")"),0)</f>
        <v>19</v>
      </c>
      <c r="J58" s="14">
        <f t="shared" ref="J58:J110" si="2">IFERROR(--_xlfn.TEXTBEFORE(_xlfn.TEXTAFTER(J3,"T1078 ("),")"),0)</f>
        <v>11</v>
      </c>
      <c r="L58" s="4">
        <f t="shared" ref="L58:L111" si="3">IFERROR(--_xlfn.TEXTBEFORE(_xlfn.TEXTAFTER(J3,"T1190 ("),")"),0)</f>
        <v>0</v>
      </c>
      <c r="M58" s="9"/>
      <c r="N58" s="9"/>
      <c r="O58" s="9"/>
    </row>
    <row r="59" spans="1:16">
      <c r="E59" s="13">
        <f t="shared" si="0"/>
        <v>7</v>
      </c>
      <c r="H59" s="15">
        <f t="shared" si="1"/>
        <v>19</v>
      </c>
      <c r="J59" s="14">
        <f t="shared" si="2"/>
        <v>11</v>
      </c>
      <c r="L59" s="4">
        <f t="shared" si="3"/>
        <v>0</v>
      </c>
      <c r="N59" s="8"/>
      <c r="O59" s="8"/>
      <c r="P59" s="8"/>
    </row>
    <row r="60" spans="1:16">
      <c r="E60" s="13">
        <f t="shared" si="0"/>
        <v>13</v>
      </c>
      <c r="H60" s="15">
        <f t="shared" si="1"/>
        <v>273</v>
      </c>
      <c r="J60" s="14">
        <f t="shared" si="2"/>
        <v>11</v>
      </c>
      <c r="L60" s="4">
        <f t="shared" si="3"/>
        <v>0</v>
      </c>
    </row>
    <row r="61" spans="1:16">
      <c r="E61" s="13">
        <f t="shared" si="0"/>
        <v>13</v>
      </c>
      <c r="H61" s="15">
        <f t="shared" si="1"/>
        <v>273</v>
      </c>
      <c r="J61" s="14">
        <f t="shared" si="2"/>
        <v>11</v>
      </c>
      <c r="L61" s="4">
        <f t="shared" si="3"/>
        <v>0</v>
      </c>
    </row>
    <row r="62" spans="1:16">
      <c r="E62" s="13">
        <f t="shared" si="0"/>
        <v>17</v>
      </c>
      <c r="H62" s="15">
        <f t="shared" si="1"/>
        <v>280</v>
      </c>
      <c r="J62" s="14">
        <f t="shared" si="2"/>
        <v>11</v>
      </c>
      <c r="L62" s="4">
        <f t="shared" si="3"/>
        <v>9</v>
      </c>
    </row>
    <row r="63" spans="1:16">
      <c r="E63" s="13">
        <f t="shared" si="0"/>
        <v>17</v>
      </c>
      <c r="H63" s="15">
        <f t="shared" si="1"/>
        <v>280</v>
      </c>
      <c r="J63" s="14">
        <f t="shared" si="2"/>
        <v>11</v>
      </c>
      <c r="L63" s="4">
        <f t="shared" si="3"/>
        <v>9</v>
      </c>
    </row>
    <row r="64" spans="1:16">
      <c r="C64"/>
      <c r="E64" s="13">
        <f t="shared" si="0"/>
        <v>10</v>
      </c>
      <c r="H64" s="15">
        <f t="shared" si="1"/>
        <v>98</v>
      </c>
      <c r="J64" s="14">
        <f t="shared" si="2"/>
        <v>11</v>
      </c>
      <c r="L64" s="4">
        <f t="shared" si="3"/>
        <v>0</v>
      </c>
    </row>
    <row r="65" spans="5:12">
      <c r="E65" s="13">
        <f t="shared" si="0"/>
        <v>7</v>
      </c>
      <c r="H65" s="15">
        <f t="shared" si="1"/>
        <v>19</v>
      </c>
      <c r="J65" s="14">
        <f t="shared" si="2"/>
        <v>12</v>
      </c>
      <c r="L65" s="4">
        <f t="shared" si="3"/>
        <v>0</v>
      </c>
    </row>
    <row r="66" spans="5:12">
      <c r="E66" s="13">
        <f t="shared" si="0"/>
        <v>12</v>
      </c>
      <c r="H66" s="15">
        <f t="shared" si="1"/>
        <v>185</v>
      </c>
      <c r="J66" s="14">
        <f t="shared" si="2"/>
        <v>13</v>
      </c>
      <c r="L66" s="4">
        <f t="shared" si="3"/>
        <v>0</v>
      </c>
    </row>
    <row r="67" spans="5:12">
      <c r="E67" s="13">
        <f t="shared" si="0"/>
        <v>9</v>
      </c>
      <c r="H67" s="15">
        <f t="shared" si="1"/>
        <v>24</v>
      </c>
      <c r="J67" s="14">
        <f t="shared" si="2"/>
        <v>13</v>
      </c>
      <c r="L67" s="4">
        <f t="shared" si="3"/>
        <v>0</v>
      </c>
    </row>
    <row r="68" spans="5:12">
      <c r="E68" s="13">
        <f t="shared" si="0"/>
        <v>13</v>
      </c>
      <c r="H68" s="15">
        <f t="shared" si="1"/>
        <v>255</v>
      </c>
      <c r="J68" s="14">
        <f t="shared" si="2"/>
        <v>13</v>
      </c>
      <c r="L68" s="4">
        <f t="shared" si="3"/>
        <v>0</v>
      </c>
    </row>
    <row r="69" spans="5:12">
      <c r="E69" s="13">
        <f t="shared" si="0"/>
        <v>13</v>
      </c>
      <c r="H69" s="15">
        <f t="shared" si="1"/>
        <v>26</v>
      </c>
      <c r="J69" s="14">
        <f t="shared" si="2"/>
        <v>13</v>
      </c>
      <c r="L69" s="4">
        <f t="shared" si="3"/>
        <v>0</v>
      </c>
    </row>
    <row r="70" spans="5:12">
      <c r="E70" s="13">
        <f t="shared" si="0"/>
        <v>13</v>
      </c>
      <c r="H70" s="15">
        <f t="shared" si="1"/>
        <v>291</v>
      </c>
      <c r="J70" s="14">
        <f t="shared" si="2"/>
        <v>13</v>
      </c>
      <c r="L70" s="4">
        <f t="shared" si="3"/>
        <v>6</v>
      </c>
    </row>
    <row r="71" spans="5:12">
      <c r="E71" s="13">
        <f t="shared" si="0"/>
        <v>11</v>
      </c>
      <c r="H71" s="15">
        <f t="shared" si="1"/>
        <v>334</v>
      </c>
      <c r="J71" s="14">
        <f t="shared" si="2"/>
        <v>325</v>
      </c>
      <c r="L71" s="4">
        <f t="shared" si="3"/>
        <v>0</v>
      </c>
    </row>
    <row r="72" spans="5:12">
      <c r="E72" s="13">
        <f t="shared" si="0"/>
        <v>10</v>
      </c>
      <c r="H72" s="15">
        <f t="shared" si="1"/>
        <v>504</v>
      </c>
      <c r="J72" s="14">
        <f t="shared" si="2"/>
        <v>325</v>
      </c>
      <c r="L72" s="4">
        <f t="shared" si="3"/>
        <v>6</v>
      </c>
    </row>
    <row r="73" spans="5:12">
      <c r="E73" s="13">
        <f t="shared" si="0"/>
        <v>10</v>
      </c>
      <c r="H73" s="15">
        <f t="shared" si="1"/>
        <v>507</v>
      </c>
      <c r="J73" s="14">
        <f t="shared" si="2"/>
        <v>325</v>
      </c>
      <c r="L73" s="4">
        <f t="shared" si="3"/>
        <v>6</v>
      </c>
    </row>
    <row r="74" spans="5:12">
      <c r="E74" s="13">
        <f t="shared" si="0"/>
        <v>9</v>
      </c>
      <c r="H74" s="15">
        <f t="shared" si="1"/>
        <v>507</v>
      </c>
      <c r="J74" s="14">
        <f t="shared" si="2"/>
        <v>325</v>
      </c>
      <c r="L74" s="4">
        <f t="shared" si="3"/>
        <v>6</v>
      </c>
    </row>
    <row r="75" spans="5:12">
      <c r="E75" s="13">
        <f t="shared" si="0"/>
        <v>12</v>
      </c>
      <c r="H75" s="15">
        <f t="shared" si="1"/>
        <v>508</v>
      </c>
      <c r="J75" s="14">
        <f t="shared" si="2"/>
        <v>325</v>
      </c>
      <c r="L75" s="4">
        <f t="shared" si="3"/>
        <v>6</v>
      </c>
    </row>
    <row r="76" spans="5:12">
      <c r="E76" s="13">
        <f t="shared" si="0"/>
        <v>10</v>
      </c>
      <c r="H76" s="15">
        <f t="shared" si="1"/>
        <v>509</v>
      </c>
      <c r="J76" s="14">
        <f t="shared" si="2"/>
        <v>325</v>
      </c>
      <c r="L76" s="4">
        <f t="shared" si="3"/>
        <v>6</v>
      </c>
    </row>
    <row r="77" spans="5:12">
      <c r="E77" s="13">
        <f t="shared" si="0"/>
        <v>10</v>
      </c>
      <c r="H77" s="15">
        <f t="shared" si="1"/>
        <v>509</v>
      </c>
      <c r="J77" s="14">
        <f t="shared" si="2"/>
        <v>325</v>
      </c>
      <c r="L77" s="4">
        <f t="shared" si="3"/>
        <v>9</v>
      </c>
    </row>
    <row r="78" spans="5:12">
      <c r="E78" s="13">
        <f t="shared" si="0"/>
        <v>12</v>
      </c>
      <c r="H78" s="15">
        <f t="shared" si="1"/>
        <v>510</v>
      </c>
      <c r="J78" s="14">
        <f t="shared" si="2"/>
        <v>325</v>
      </c>
      <c r="L78" s="4">
        <f t="shared" si="3"/>
        <v>9</v>
      </c>
    </row>
    <row r="79" spans="5:12">
      <c r="E79" s="13">
        <f t="shared" si="0"/>
        <v>14</v>
      </c>
      <c r="H79" s="15">
        <f t="shared" si="1"/>
        <v>514</v>
      </c>
      <c r="J79" s="14">
        <f t="shared" si="2"/>
        <v>325</v>
      </c>
      <c r="L79" s="4">
        <f t="shared" si="3"/>
        <v>9</v>
      </c>
    </row>
    <row r="80" spans="5:12">
      <c r="E80" s="13">
        <f t="shared" si="0"/>
        <v>10</v>
      </c>
      <c r="H80" s="15">
        <f t="shared" si="1"/>
        <v>556</v>
      </c>
      <c r="J80" s="14">
        <f t="shared" si="2"/>
        <v>325</v>
      </c>
      <c r="L80" s="4">
        <f t="shared" si="3"/>
        <v>6</v>
      </c>
    </row>
    <row r="81" spans="5:12">
      <c r="E81" s="13">
        <f t="shared" si="0"/>
        <v>10</v>
      </c>
      <c r="H81" s="15">
        <f t="shared" si="1"/>
        <v>591</v>
      </c>
      <c r="J81" s="14">
        <f t="shared" si="2"/>
        <v>325</v>
      </c>
      <c r="L81" s="4">
        <f t="shared" si="3"/>
        <v>9</v>
      </c>
    </row>
    <row r="82" spans="5:12">
      <c r="E82" s="13">
        <f t="shared" si="0"/>
        <v>10</v>
      </c>
      <c r="H82" s="15">
        <f t="shared" si="1"/>
        <v>593</v>
      </c>
      <c r="J82" s="14">
        <f t="shared" si="2"/>
        <v>325</v>
      </c>
      <c r="L82" s="4">
        <f t="shared" si="3"/>
        <v>6</v>
      </c>
    </row>
    <row r="83" spans="5:12">
      <c r="E83" s="13">
        <f t="shared" si="0"/>
        <v>13</v>
      </c>
      <c r="H83" s="15">
        <f t="shared" si="1"/>
        <v>629</v>
      </c>
      <c r="J83" s="14">
        <f t="shared" si="2"/>
        <v>325</v>
      </c>
      <c r="L83" s="4">
        <f t="shared" si="3"/>
        <v>9</v>
      </c>
    </row>
    <row r="84" spans="5:12">
      <c r="E84" s="13">
        <f t="shared" si="0"/>
        <v>15</v>
      </c>
      <c r="H84" s="15">
        <f t="shared" si="1"/>
        <v>501</v>
      </c>
      <c r="J84" s="14">
        <f t="shared" si="2"/>
        <v>326</v>
      </c>
      <c r="L84" s="4">
        <f t="shared" si="3"/>
        <v>0</v>
      </c>
    </row>
    <row r="85" spans="5:12">
      <c r="E85" s="13">
        <f t="shared" si="0"/>
        <v>15</v>
      </c>
      <c r="H85" s="15">
        <f t="shared" si="1"/>
        <v>506</v>
      </c>
      <c r="J85" s="14">
        <f t="shared" si="2"/>
        <v>326</v>
      </c>
      <c r="L85" s="4">
        <f t="shared" si="3"/>
        <v>0</v>
      </c>
    </row>
    <row r="86" spans="5:12">
      <c r="E86" s="13">
        <f t="shared" si="0"/>
        <v>15</v>
      </c>
      <c r="H86" s="15">
        <f t="shared" si="1"/>
        <v>518</v>
      </c>
      <c r="J86" s="14">
        <f t="shared" si="2"/>
        <v>326</v>
      </c>
      <c r="L86" s="4">
        <f t="shared" si="3"/>
        <v>6</v>
      </c>
    </row>
    <row r="87" spans="5:12">
      <c r="E87" s="13">
        <f t="shared" si="0"/>
        <v>14</v>
      </c>
      <c r="H87" s="15">
        <f t="shared" si="1"/>
        <v>522</v>
      </c>
      <c r="J87" s="14">
        <f t="shared" si="2"/>
        <v>326</v>
      </c>
      <c r="L87" s="4">
        <f t="shared" si="3"/>
        <v>0</v>
      </c>
    </row>
    <row r="88" spans="5:12">
      <c r="E88" s="13">
        <f t="shared" si="0"/>
        <v>14</v>
      </c>
      <c r="H88" s="15">
        <f t="shared" si="1"/>
        <v>527</v>
      </c>
      <c r="J88" s="14">
        <f t="shared" si="2"/>
        <v>326</v>
      </c>
      <c r="L88" s="4">
        <f t="shared" si="3"/>
        <v>9</v>
      </c>
    </row>
    <row r="89" spans="5:12">
      <c r="E89" s="13">
        <f t="shared" si="0"/>
        <v>15</v>
      </c>
      <c r="H89" s="15">
        <f t="shared" si="1"/>
        <v>527</v>
      </c>
      <c r="J89" s="14">
        <f t="shared" si="2"/>
        <v>326</v>
      </c>
      <c r="L89" s="4">
        <f t="shared" si="3"/>
        <v>9</v>
      </c>
    </row>
    <row r="90" spans="5:12">
      <c r="E90" s="13">
        <f t="shared" si="0"/>
        <v>13</v>
      </c>
      <c r="H90" s="15">
        <f t="shared" si="1"/>
        <v>607</v>
      </c>
      <c r="J90" s="14">
        <f t="shared" si="2"/>
        <v>326</v>
      </c>
      <c r="L90" s="4">
        <f t="shared" si="3"/>
        <v>6</v>
      </c>
    </row>
    <row r="91" spans="5:12">
      <c r="E91" s="13">
        <f t="shared" si="0"/>
        <v>13</v>
      </c>
      <c r="H91" s="15">
        <f t="shared" si="1"/>
        <v>607</v>
      </c>
      <c r="J91" s="14">
        <f t="shared" si="2"/>
        <v>326</v>
      </c>
      <c r="L91" s="4">
        <f t="shared" si="3"/>
        <v>6</v>
      </c>
    </row>
    <row r="92" spans="5:12">
      <c r="E92" s="13">
        <f t="shared" si="0"/>
        <v>13</v>
      </c>
      <c r="H92" s="15">
        <f t="shared" si="1"/>
        <v>608</v>
      </c>
      <c r="J92" s="14">
        <f t="shared" si="2"/>
        <v>326</v>
      </c>
      <c r="L92" s="4">
        <f t="shared" si="3"/>
        <v>9</v>
      </c>
    </row>
    <row r="93" spans="5:12">
      <c r="E93" s="13">
        <f t="shared" si="0"/>
        <v>255</v>
      </c>
      <c r="H93" s="15">
        <f t="shared" si="1"/>
        <v>618</v>
      </c>
      <c r="J93" s="14">
        <f t="shared" si="2"/>
        <v>326</v>
      </c>
      <c r="L93" s="4">
        <f t="shared" si="3"/>
        <v>9</v>
      </c>
    </row>
    <row r="94" spans="5:12">
      <c r="E94" s="13">
        <f t="shared" si="0"/>
        <v>16</v>
      </c>
      <c r="H94" s="15">
        <f t="shared" si="1"/>
        <v>528</v>
      </c>
      <c r="J94" s="14">
        <f t="shared" si="2"/>
        <v>347</v>
      </c>
      <c r="L94" s="4">
        <f t="shared" si="3"/>
        <v>0</v>
      </c>
    </row>
    <row r="95" spans="5:12">
      <c r="E95" s="13">
        <f t="shared" si="0"/>
        <v>18</v>
      </c>
      <c r="H95" s="15">
        <f t="shared" si="1"/>
        <v>528</v>
      </c>
      <c r="J95" s="14">
        <f t="shared" si="2"/>
        <v>347</v>
      </c>
      <c r="L95" s="4">
        <f t="shared" si="3"/>
        <v>0</v>
      </c>
    </row>
    <row r="96" spans="5:12">
      <c r="E96" s="13">
        <f t="shared" si="0"/>
        <v>18</v>
      </c>
      <c r="H96" s="15">
        <f t="shared" si="1"/>
        <v>628</v>
      </c>
      <c r="J96" s="14">
        <f t="shared" si="2"/>
        <v>347</v>
      </c>
      <c r="L96" s="4">
        <f t="shared" si="3"/>
        <v>9</v>
      </c>
    </row>
    <row r="97" spans="4:12">
      <c r="E97" s="13">
        <f t="shared" si="0"/>
        <v>18</v>
      </c>
      <c r="H97" s="15">
        <f t="shared" si="1"/>
        <v>628</v>
      </c>
      <c r="J97" s="14">
        <f t="shared" si="2"/>
        <v>347</v>
      </c>
      <c r="L97" s="4">
        <f t="shared" si="3"/>
        <v>9</v>
      </c>
    </row>
    <row r="98" spans="4:12">
      <c r="E98" s="13">
        <f t="shared" si="0"/>
        <v>267</v>
      </c>
      <c r="H98" s="15">
        <f t="shared" si="1"/>
        <v>629</v>
      </c>
      <c r="J98" s="14">
        <f t="shared" si="2"/>
        <v>347</v>
      </c>
      <c r="L98" s="4">
        <f t="shared" si="3"/>
        <v>9</v>
      </c>
    </row>
    <row r="99" spans="4:12">
      <c r="E99" s="13">
        <f t="shared" si="0"/>
        <v>268</v>
      </c>
      <c r="H99" s="15">
        <f t="shared" si="1"/>
        <v>647</v>
      </c>
      <c r="J99" s="14">
        <f t="shared" si="2"/>
        <v>347</v>
      </c>
      <c r="L99" s="4">
        <f t="shared" si="3"/>
        <v>9</v>
      </c>
    </row>
    <row r="100" spans="4:12">
      <c r="E100" s="13">
        <f t="shared" si="0"/>
        <v>13</v>
      </c>
      <c r="H100" s="15">
        <f t="shared" si="1"/>
        <v>520</v>
      </c>
      <c r="J100" s="14">
        <f t="shared" si="2"/>
        <v>348</v>
      </c>
      <c r="L100" s="4">
        <f t="shared" si="3"/>
        <v>0</v>
      </c>
    </row>
    <row r="101" spans="4:12">
      <c r="E101" s="13">
        <f t="shared" si="0"/>
        <v>9</v>
      </c>
      <c r="H101" s="15">
        <f t="shared" si="1"/>
        <v>520</v>
      </c>
      <c r="J101" s="14">
        <f t="shared" si="2"/>
        <v>348</v>
      </c>
      <c r="L101" s="4">
        <f t="shared" si="3"/>
        <v>0</v>
      </c>
    </row>
    <row r="102" spans="4:12">
      <c r="E102" s="13">
        <f t="shared" si="0"/>
        <v>15</v>
      </c>
      <c r="H102" s="15">
        <f t="shared" si="1"/>
        <v>626</v>
      </c>
      <c r="J102" s="14">
        <f t="shared" si="2"/>
        <v>348</v>
      </c>
      <c r="L102" s="4">
        <f t="shared" si="3"/>
        <v>9</v>
      </c>
    </row>
    <row r="103" spans="4:12">
      <c r="E103" s="13">
        <f t="shared" si="0"/>
        <v>15</v>
      </c>
      <c r="H103" s="15">
        <f t="shared" si="1"/>
        <v>628</v>
      </c>
      <c r="J103" s="14">
        <f t="shared" si="2"/>
        <v>348</v>
      </c>
      <c r="L103" s="4">
        <f t="shared" si="3"/>
        <v>9</v>
      </c>
    </row>
    <row r="104" spans="4:12">
      <c r="E104" s="13">
        <f t="shared" si="0"/>
        <v>251</v>
      </c>
      <c r="H104" s="15">
        <f t="shared" si="1"/>
        <v>638</v>
      </c>
      <c r="J104" s="14">
        <f t="shared" si="2"/>
        <v>348</v>
      </c>
      <c r="L104" s="4">
        <f t="shared" si="3"/>
        <v>9</v>
      </c>
    </row>
    <row r="105" spans="4:12">
      <c r="E105" s="13">
        <f t="shared" si="0"/>
        <v>264</v>
      </c>
      <c r="H105" s="15">
        <f t="shared" si="1"/>
        <v>640</v>
      </c>
      <c r="J105" s="14">
        <f t="shared" si="2"/>
        <v>348</v>
      </c>
      <c r="L105" s="4">
        <f t="shared" si="3"/>
        <v>9</v>
      </c>
    </row>
    <row r="106" spans="4:12">
      <c r="E106" s="13">
        <f t="shared" si="0"/>
        <v>250</v>
      </c>
      <c r="H106" s="15">
        <f t="shared" si="1"/>
        <v>650</v>
      </c>
      <c r="J106" s="14">
        <f t="shared" si="2"/>
        <v>348</v>
      </c>
      <c r="L106" s="4">
        <f t="shared" si="3"/>
        <v>9</v>
      </c>
    </row>
    <row r="107" spans="4:12">
      <c r="E107" s="13">
        <f t="shared" si="0"/>
        <v>244</v>
      </c>
      <c r="H107" s="15">
        <f t="shared" si="1"/>
        <v>652</v>
      </c>
      <c r="J107" s="14">
        <f t="shared" si="2"/>
        <v>348</v>
      </c>
      <c r="L107" s="4">
        <f t="shared" si="3"/>
        <v>9</v>
      </c>
    </row>
    <row r="108" spans="4:12">
      <c r="E108" s="13">
        <f t="shared" si="0"/>
        <v>15</v>
      </c>
      <c r="H108" s="15">
        <f t="shared" si="1"/>
        <v>553</v>
      </c>
      <c r="J108" s="14">
        <f t="shared" si="2"/>
        <v>349</v>
      </c>
      <c r="L108" s="4">
        <f t="shared" si="3"/>
        <v>9</v>
      </c>
    </row>
    <row r="109" spans="4:12">
      <c r="E109" s="13">
        <f t="shared" si="0"/>
        <v>245</v>
      </c>
      <c r="H109" s="15">
        <f t="shared" si="1"/>
        <v>642</v>
      </c>
      <c r="J109" s="14">
        <f t="shared" si="2"/>
        <v>349</v>
      </c>
      <c r="L109" s="4">
        <f t="shared" si="3"/>
        <v>9</v>
      </c>
    </row>
    <row r="110" spans="4:12">
      <c r="E110" s="13">
        <f t="shared" si="0"/>
        <v>267</v>
      </c>
      <c r="H110" s="15">
        <f t="shared" si="1"/>
        <v>649</v>
      </c>
      <c r="J110" s="14">
        <f t="shared" si="2"/>
        <v>349</v>
      </c>
      <c r="L110" s="4">
        <f t="shared" si="3"/>
        <v>9</v>
      </c>
    </row>
    <row r="111" spans="4:12">
      <c r="D111" s="8" t="s">
        <v>136</v>
      </c>
      <c r="E111" s="13">
        <f>SUM(E57:E110)</f>
        <v>2877</v>
      </c>
      <c r="G111" s="8" t="s">
        <v>133</v>
      </c>
      <c r="H111" s="9">
        <f>SUM(H57:H110)</f>
        <v>24680</v>
      </c>
      <c r="I111" s="8" t="s">
        <v>133</v>
      </c>
      <c r="J111" s="9">
        <f>SUM(J57:J110)</f>
        <v>13562</v>
      </c>
      <c r="K111" s="8" t="s">
        <v>133</v>
      </c>
      <c r="L111" s="8">
        <f>SUM(L57:L110)</f>
        <v>282</v>
      </c>
    </row>
    <row r="112" spans="4:12">
      <c r="D112" s="4">
        <v>2877</v>
      </c>
      <c r="E112" s="13"/>
    </row>
    <row r="116" spans="7:14">
      <c r="G116" s="4" t="s">
        <v>135</v>
      </c>
    </row>
    <row r="117" spans="7:14" ht="30">
      <c r="K117" s="4" t="s">
        <v>137</v>
      </c>
      <c r="L117" s="4" t="s">
        <v>140</v>
      </c>
      <c r="M117" s="4" t="s">
        <v>139</v>
      </c>
      <c r="N117" s="4" t="s">
        <v>138</v>
      </c>
    </row>
    <row r="118" spans="7:14">
      <c r="K118" s="4">
        <v>2877</v>
      </c>
      <c r="L118" s="4">
        <v>24680</v>
      </c>
      <c r="M118" s="4">
        <v>13562</v>
      </c>
      <c r="N118" s="4">
        <v>282</v>
      </c>
    </row>
  </sheetData>
  <phoneticPr fontId="18" type="noConversion"/>
  <conditionalFormatting sqref="L2:N5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4971DE-EFC5-4241-8703-8DA8654A6A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Linux.W60.S30_mitre_summary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Ganzha</cp:lastModifiedBy>
  <dcterms:created xsi:type="dcterms:W3CDTF">2026-05-03T06:51:23Z</dcterms:created>
  <dcterms:modified xsi:type="dcterms:W3CDTF">2026-05-03T07:31:20Z</dcterms:modified>
</cp:coreProperties>
</file>