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SCI 412\"/>
    </mc:Choice>
  </mc:AlternateContent>
  <xr:revisionPtr revIDLastSave="0" documentId="13_ncr:9_{51E62B97-6562-4A6A-9199-41FD084A74BE}" xr6:coauthVersionLast="47" xr6:coauthVersionMax="47" xr10:uidLastSave="{00000000-0000-0000-0000-000000000000}"/>
  <bookViews>
    <workbookView xWindow="-120" yWindow="-120" windowWidth="38640" windowHeight="21120" activeTab="2" xr2:uid="{8C6BA3C5-3A06-4BF2-8739-04342928A60C}"/>
  </bookViews>
  <sheets>
    <sheet name="average performance by top_k" sheetId="2" r:id="rId1"/>
    <sheet name="avg train_samples" sheetId="3" r:id="rId2"/>
    <sheet name="top_k  + train_samples" sheetId="4" r:id="rId3"/>
    <sheet name="Standard Deviation" sheetId="5" r:id="rId4"/>
    <sheet name="Linux.W60.S30_test_runs" sheetId="1" r:id="rId5"/>
  </sheets>
  <calcPr calcId="0"/>
  <pivotCaches>
    <pivotCache cacheId="8" r:id="rId6"/>
  </pivotCaches>
</workbook>
</file>

<file path=xl/calcChain.xml><?xml version="1.0" encoding="utf-8"?>
<calcChain xmlns="http://schemas.openxmlformats.org/spreadsheetml/2006/main">
  <c r="C33" i="5" l="1"/>
  <c r="C32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5" i="5"/>
  <c r="F4" i="5"/>
  <c r="B25" i="4"/>
</calcChain>
</file>

<file path=xl/sharedStrings.xml><?xml version="1.0" encoding="utf-8"?>
<sst xmlns="http://schemas.openxmlformats.org/spreadsheetml/2006/main" count="157" uniqueCount="61">
  <si>
    <t>run_id</t>
  </si>
  <si>
    <t>dataset</t>
  </si>
  <si>
    <t>train_samples</t>
  </si>
  <si>
    <t>top_k</t>
  </si>
  <si>
    <t>seed</t>
  </si>
  <si>
    <t>epochs</t>
  </si>
  <si>
    <t>episodes</t>
  </si>
  <si>
    <t>normal_precision</t>
  </si>
  <si>
    <t>normal_recall</t>
  </si>
  <si>
    <t>normal_f1</t>
  </si>
  <si>
    <t>normal_support</t>
  </si>
  <si>
    <t>anomaly_precision</t>
  </si>
  <si>
    <t>anomaly_recall</t>
  </si>
  <si>
    <t>anomaly_f1</t>
  </si>
  <si>
    <t>anomaly_support</t>
  </si>
  <si>
    <t>accuracy</t>
  </si>
  <si>
    <t>macro_precision</t>
  </si>
  <si>
    <t>macro_recall</t>
  </si>
  <si>
    <t>macro_f1</t>
  </si>
  <si>
    <t>weighted_precision</t>
  </si>
  <si>
    <t>weighted_recall</t>
  </si>
  <si>
    <t>weighted_f1</t>
  </si>
  <si>
    <t>TN</t>
  </si>
  <si>
    <t>FP</t>
  </si>
  <si>
    <t>FN</t>
  </si>
  <si>
    <t>TP</t>
  </si>
  <si>
    <t>AUC_ROC</t>
  </si>
  <si>
    <t>AUC_PR</t>
  </si>
  <si>
    <t>Linux</t>
  </si>
  <si>
    <t>Row Labels</t>
  </si>
  <si>
    <t>Grand Total</t>
  </si>
  <si>
    <t>Average of anomaly_precision</t>
  </si>
  <si>
    <t>Average of anomaly_recall</t>
  </si>
  <si>
    <t>Average of anomaly_f1</t>
  </si>
  <si>
    <t>Average of accuracy</t>
  </si>
  <si>
    <t>Average of AUC_PR</t>
  </si>
  <si>
    <t>Average of AUC_ROC</t>
  </si>
  <si>
    <t>StdDev of anomaly_f1</t>
  </si>
  <si>
    <t>StdDev of AUC_ROC</t>
  </si>
  <si>
    <t>Best overall detector (f1):</t>
  </si>
  <si>
    <t>Best attack coverage (recall):</t>
  </si>
  <si>
    <t>top_k = 1: 0.839</t>
  </si>
  <si>
    <t>top_k = 1: 0.997</t>
  </si>
  <si>
    <t>Lowest false positives</t>
  </si>
  <si>
    <t>Lowest false positives (precision)</t>
  </si>
  <si>
    <t>top_k = 7: 0.765</t>
  </si>
  <si>
    <t>Best stable setting</t>
  </si>
  <si>
    <t>Best stable setting (</t>
  </si>
  <si>
    <t>Best overall detector</t>
  </si>
  <si>
    <t>Best attack coverage</t>
  </si>
  <si>
    <t>Stability Score</t>
  </si>
  <si>
    <t>top_k = 1, train_samples = 300</t>
  </si>
  <si>
    <t>Worst overall detector</t>
  </si>
  <si>
    <t>Worst overall detector (f1):</t>
  </si>
  <si>
    <t>top_k = 20: 0.291</t>
  </si>
  <si>
    <t>Worst attack coverage (recall):</t>
  </si>
  <si>
    <t>Highest false positives (precision)</t>
  </si>
  <si>
    <t>top_k = 20: 0.217</t>
  </si>
  <si>
    <t>top_k = 20: 0.379</t>
  </si>
  <si>
    <t>Worst stability setting</t>
  </si>
  <si>
    <t>top_k = 20, train_samples =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</si>
</sst>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"/>
    <numFmt numFmtId="170" formatCode="#,##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3" tint="0.8999908444471571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6" fillId="0" borderId="0" xfId="0" applyFont="1"/>
    <xf numFmtId="168" fontId="0" fillId="0" borderId="0" xfId="0" applyNumberFormat="1"/>
    <xf numFmtId="170" fontId="0" fillId="0" borderId="0" xfId="0" applyNumberFormat="1"/>
    <xf numFmtId="0" fontId="16" fillId="0" borderId="10" xfId="0" applyFont="1" applyBorder="1"/>
    <xf numFmtId="0" fontId="0" fillId="0" borderId="13" xfId="0" applyBorder="1"/>
    <xf numFmtId="168" fontId="0" fillId="0" borderId="12" xfId="0" applyNumberFormat="1" applyFont="1" applyBorder="1"/>
    <xf numFmtId="168" fontId="0" fillId="0" borderId="11" xfId="0" applyNumberFormat="1" applyBorder="1"/>
    <xf numFmtId="168" fontId="0" fillId="0" borderId="12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8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[Linux.W60.S30_test_runs.csv.xlsx]average performance by top_k!PivotTable1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solidFill>
                  <a:sysClr val="windowText" lastClr="000000"/>
                </a:solidFill>
              </a:rPr>
              <a:t>Effect of Top-k on Linux Anomaly Detection Performance</a:t>
            </a:r>
            <a:endParaRPr lang="en-US" sz="18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6759231466564576E-2"/>
          <c:y val="7.9945006874140731E-2"/>
          <c:w val="0.76362938681036019"/>
          <c:h val="0.8262840674327474"/>
        </c:manualLayout>
      </c:layout>
      <c:lineChart>
        <c:grouping val="standard"/>
        <c:varyColors val="0"/>
        <c:ser>
          <c:idx val="0"/>
          <c:order val="0"/>
          <c:tx>
            <c:strRef>
              <c:f>'average performance by top_k'!$B$3</c:f>
              <c:strCache>
                <c:ptCount val="1"/>
                <c:pt idx="0">
                  <c:v>Average of anomaly_recall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'average performance by top_k'!$A$4:$A$10</c:f>
              <c:strCach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13</c:v>
                </c:pt>
                <c:pt idx="5">
                  <c:v>20</c:v>
                </c:pt>
              </c:strCache>
            </c:strRef>
          </c:cat>
          <c:val>
            <c:numRef>
              <c:f>'average performance by top_k'!$B$4:$B$10</c:f>
              <c:numCache>
                <c:formatCode>General</c:formatCode>
                <c:ptCount val="6"/>
                <c:pt idx="0">
                  <c:v>0.9968055555555555</c:v>
                </c:pt>
                <c:pt idx="1">
                  <c:v>0.69305555555555565</c:v>
                </c:pt>
                <c:pt idx="2">
                  <c:v>0.61333333333333317</c:v>
                </c:pt>
                <c:pt idx="3">
                  <c:v>0.59847222222222218</c:v>
                </c:pt>
                <c:pt idx="4">
                  <c:v>0.33236111111111116</c:v>
                </c:pt>
                <c:pt idx="5">
                  <c:v>0.23055555555555562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BF-42D8-B441-298899E6461F}"/>
            </c:ext>
          </c:extLst>
        </c:ser>
        <c:ser>
          <c:idx val="1"/>
          <c:order val="1"/>
          <c:tx>
            <c:strRef>
              <c:f>'average performance by top_k'!$C$3</c:f>
              <c:strCache>
                <c:ptCount val="1"/>
                <c:pt idx="0">
                  <c:v>Average of anomaly_precision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'average performance by top_k'!$A$4:$A$10</c:f>
              <c:strCach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13</c:v>
                </c:pt>
                <c:pt idx="5">
                  <c:v>20</c:v>
                </c:pt>
              </c:strCache>
            </c:strRef>
          </c:cat>
          <c:val>
            <c:numRef>
              <c:f>'average performance by top_k'!$C$4:$C$10</c:f>
              <c:numCache>
                <c:formatCode>General</c:formatCode>
                <c:ptCount val="6"/>
                <c:pt idx="0">
                  <c:v>0.72824411470595019</c:v>
                </c:pt>
                <c:pt idx="1">
                  <c:v>0.74724473150983095</c:v>
                </c:pt>
                <c:pt idx="2">
                  <c:v>0.75350824262960792</c:v>
                </c:pt>
                <c:pt idx="3">
                  <c:v>0.76534989692446731</c:v>
                </c:pt>
                <c:pt idx="4">
                  <c:v>0.5632405200763857</c:v>
                </c:pt>
                <c:pt idx="5">
                  <c:v>0.45078032597493617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BF-42D8-B441-298899E6461F}"/>
            </c:ext>
          </c:extLst>
        </c:ser>
        <c:ser>
          <c:idx val="2"/>
          <c:order val="2"/>
          <c:tx>
            <c:strRef>
              <c:f>'average performance by top_k'!$D$3</c:f>
              <c:strCache>
                <c:ptCount val="1"/>
                <c:pt idx="0">
                  <c:v>Average of anomaly_f1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'average performance by top_k'!$A$4:$A$10</c:f>
              <c:strCach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13</c:v>
                </c:pt>
                <c:pt idx="5">
                  <c:v>20</c:v>
                </c:pt>
              </c:strCache>
            </c:strRef>
          </c:cat>
          <c:val>
            <c:numRef>
              <c:f>'average performance by top_k'!$D$4:$D$10</c:f>
              <c:numCache>
                <c:formatCode>General</c:formatCode>
                <c:ptCount val="6"/>
                <c:pt idx="0">
                  <c:v>0.8386515424147819</c:v>
                </c:pt>
                <c:pt idx="1">
                  <c:v>0.71769552541234793</c:v>
                </c:pt>
                <c:pt idx="2">
                  <c:v>0.67374138273859396</c:v>
                </c:pt>
                <c:pt idx="3">
                  <c:v>0.66967431047319748</c:v>
                </c:pt>
                <c:pt idx="4">
                  <c:v>0.40724749475343991</c:v>
                </c:pt>
                <c:pt idx="5">
                  <c:v>0.29128418277151547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BF-42D8-B441-298899E64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5507759"/>
        <c:axId val="385524559"/>
      </c:lineChart>
      <c:catAx>
        <c:axId val="385507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top k</a:t>
                </a:r>
                <a:endParaRPr lang="en-US" sz="1200" b="1" baseline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524559"/>
        <c:crosses val="autoZero"/>
        <c:auto val="1"/>
        <c:lblAlgn val="ctr"/>
        <c:lblOffset val="100"/>
        <c:noMultiLvlLbl val="0"/>
      </c:catAx>
      <c:valAx>
        <c:axId val="38552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Score</a:t>
                </a:r>
              </a:p>
            </c:rich>
          </c:tx>
          <c:layout>
            <c:manualLayout>
              <c:xMode val="edge"/>
              <c:yMode val="edge"/>
              <c:x val="2.2845277049678828E-2"/>
              <c:y val="0.429470368835474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50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[Linux.W60.S30_test_runs.csv.xlsx]avg train_samples!PivotTable2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'avg train_samples'!$B$3</c:f>
              <c:strCache>
                <c:ptCount val="1"/>
                <c:pt idx="0">
                  <c:v>Average of 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train_samples'!$A$4:$A$7</c:f>
              <c:strCache>
                <c:ptCount val="3"/>
                <c:pt idx="0">
                  <c:v>100</c:v>
                </c:pt>
                <c:pt idx="1">
                  <c:v>300</c:v>
                </c:pt>
                <c:pt idx="2">
                  <c:v>500</c:v>
                </c:pt>
              </c:strCache>
            </c:strRef>
          </c:cat>
          <c:val>
            <c:numRef>
              <c:f>'avg train_samples'!$B$4:$B$7</c:f>
              <c:numCache>
                <c:formatCode>General</c:formatCode>
                <c:ptCount val="3"/>
                <c:pt idx="0">
                  <c:v>0.67343749999999991</c:v>
                </c:pt>
                <c:pt idx="1">
                  <c:v>0.68597222222222221</c:v>
                </c:pt>
                <c:pt idx="2">
                  <c:v>0.68395833333333322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5B-46D8-B222-A9549E4C0A86}"/>
            </c:ext>
          </c:extLst>
        </c:ser>
        <c:ser>
          <c:idx val="1"/>
          <c:order val="1"/>
          <c:tx>
            <c:strRef>
              <c:f>'avg train_samples'!$C$3</c:f>
              <c:strCache>
                <c:ptCount val="1"/>
                <c:pt idx="0">
                  <c:v>Average of anomaly_precision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train_samples'!$A$4:$A$7</c:f>
              <c:strCache>
                <c:ptCount val="3"/>
                <c:pt idx="0">
                  <c:v>100</c:v>
                </c:pt>
                <c:pt idx="1">
                  <c:v>300</c:v>
                </c:pt>
                <c:pt idx="2">
                  <c:v>500</c:v>
                </c:pt>
              </c:strCache>
            </c:strRef>
          </c:cat>
          <c:val>
            <c:numRef>
              <c:f>'avg train_samples'!$C$4:$C$7</c:f>
              <c:numCache>
                <c:formatCode>General</c:formatCode>
                <c:ptCount val="3"/>
                <c:pt idx="0">
                  <c:v>0.69194965739468961</c:v>
                </c:pt>
                <c:pt idx="1">
                  <c:v>0.64766142640486601</c:v>
                </c:pt>
                <c:pt idx="2">
                  <c:v>0.66457283211103335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5B-46D8-B222-A9549E4C0A86}"/>
            </c:ext>
          </c:extLst>
        </c:ser>
        <c:ser>
          <c:idx val="2"/>
          <c:order val="2"/>
          <c:tx>
            <c:strRef>
              <c:f>'avg train_samples'!$D$3</c:f>
              <c:strCache>
                <c:ptCount val="1"/>
                <c:pt idx="0">
                  <c:v>Average of anomaly_recall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'avg train_samples'!$A$4:$A$7</c:f>
              <c:strCache>
                <c:ptCount val="3"/>
                <c:pt idx="0">
                  <c:v>100</c:v>
                </c:pt>
                <c:pt idx="1">
                  <c:v>300</c:v>
                </c:pt>
                <c:pt idx="2">
                  <c:v>500</c:v>
                </c:pt>
              </c:strCache>
            </c:strRef>
          </c:cat>
          <c:val>
            <c:numRef>
              <c:f>'avg train_samples'!$D$4:$D$7</c:f>
              <c:numCache>
                <c:formatCode>General</c:formatCode>
                <c:ptCount val="3"/>
                <c:pt idx="0">
                  <c:v>0.57493055555555572</c:v>
                </c:pt>
                <c:pt idx="1">
                  <c:v>0.56930555555555551</c:v>
                </c:pt>
                <c:pt idx="2">
                  <c:v>0.58805555555555555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5B-46D8-B222-A9549E4C0A86}"/>
            </c:ext>
          </c:extLst>
        </c:ser>
        <c:ser>
          <c:idx val="3"/>
          <c:order val="3"/>
          <c:tx>
            <c:strRef>
              <c:f>'avg train_samples'!$E$3</c:f>
              <c:strCache>
                <c:ptCount val="1"/>
                <c:pt idx="0">
                  <c:v>Average of anomaly_f1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'avg train_samples'!$A$4:$A$7</c:f>
              <c:strCache>
                <c:ptCount val="3"/>
                <c:pt idx="0">
                  <c:v>100</c:v>
                </c:pt>
                <c:pt idx="1">
                  <c:v>300</c:v>
                </c:pt>
                <c:pt idx="2">
                  <c:v>500</c:v>
                </c:pt>
              </c:strCache>
            </c:strRef>
          </c:cat>
          <c:val>
            <c:numRef>
              <c:f>'avg train_samples'!$E$4:$E$7</c:f>
              <c:numCache>
                <c:formatCode>General</c:formatCode>
                <c:ptCount val="3"/>
                <c:pt idx="0">
                  <c:v>0.60777959106188584</c:v>
                </c:pt>
                <c:pt idx="1">
                  <c:v>0.58862966026356889</c:v>
                </c:pt>
                <c:pt idx="2">
                  <c:v>0.60273796795648371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5B-46D8-B222-A9549E4C0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4963168"/>
        <c:axId val="974960288"/>
      </c:lineChart>
      <c:catAx>
        <c:axId val="97496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960288"/>
        <c:crosses val="autoZero"/>
        <c:auto val="1"/>
        <c:lblAlgn val="ctr"/>
        <c:lblOffset val="100"/>
        <c:noMultiLvlLbl val="0"/>
      </c:catAx>
      <c:valAx>
        <c:axId val="97496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96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142874</xdr:colOff>
      <xdr:row>10</xdr:row>
      <xdr:rowOff>9524</xdr:rowOff>
    </xdr:from>
    <xdr:to>
      <xdr:col>23</xdr:col>
      <xdr:colOff>47624</xdr:colOff>
      <xdr:row>49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8EA14E-78C4-56DD-FFC6-D08073510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1343026</xdr:colOff>
      <xdr:row>15</xdr:row>
      <xdr:rowOff>114300</xdr:rowOff>
    </xdr:from>
    <xdr:to>
      <xdr:col>13</xdr:col>
      <xdr:colOff>323850</xdr:colOff>
      <xdr:row>38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AE4BB3-8E57-25DE-73D7-9F3A91D012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G" refreshedDate="46145.024808333335" createdVersion="8" refreshedVersion="8" minRefreshableVersion="3" recordCount="54" xr:uid="{534A274B-6DA1-4B86-9219-1A406885EF73}">
  <cacheSource type="worksheet">
    <worksheetSource name="Table1"/>
  </cacheSource>
  <cacheFields count="28">
    <cacheField name="run_id" numFmtId="0">
      <sharedItems containsSemiMixedTypes="0" containsString="0" containsNumber="1" containsInteger="1" minValue="1" maxValue="54"/>
    </cacheField>
    <cacheField name="dataset" numFmtId="0">
      <sharedItems/>
    </cacheField>
    <cacheField name="train_samples" numFmtId="0">
      <sharedItems containsSemiMixedTypes="0" containsString="0" containsNumber="1" containsInteger="1" minValue="100" maxValue="500" count="3">
        <n v="300"/>
        <n v="500"/>
        <n v="100"/>
      </sharedItems>
    </cacheField>
    <cacheField name="top_k" numFmtId="0">
      <sharedItems containsSemiMixedTypes="0" containsString="0" containsNumber="1" containsInteger="1" minValue="1" maxValue="20" count="6">
        <n v="1"/>
        <n v="3"/>
        <n v="5"/>
        <n v="7"/>
        <n v="20"/>
        <n v="13"/>
      </sharedItems>
    </cacheField>
    <cacheField name="seed" numFmtId="0">
      <sharedItems containsSemiMixedTypes="0" containsString="0" containsNumber="1" containsInteger="1" minValue="3" maxValue="7"/>
    </cacheField>
    <cacheField name="epochs" numFmtId="0">
      <sharedItems containsSemiMixedTypes="0" containsString="0" containsNumber="1" containsInteger="1" minValue="5" maxValue="5"/>
    </cacheField>
    <cacheField name="episodes" numFmtId="0">
      <sharedItems containsSemiMixedTypes="0" containsString="0" containsNumber="1" containsInteger="1" minValue="5" maxValue="5"/>
    </cacheField>
    <cacheField name="normal_precision" numFmtId="0">
      <sharedItems containsSemiMixedTypes="0" containsString="0" containsNumber="1" minValue="0" maxValue="1"/>
    </cacheField>
    <cacheField name="normal_recall" numFmtId="0">
      <sharedItems containsSemiMixedTypes="0" containsString="0" containsNumber="1" minValue="0" maxValue="0.90375000000000005"/>
    </cacheField>
    <cacheField name="normal_f1" numFmtId="0">
      <sharedItems containsSemiMixedTypes="0" containsString="0" containsNumber="1" minValue="0" maxValue="0.82352941176470495"/>
    </cacheField>
    <cacheField name="normal_support" numFmtId="0">
      <sharedItems containsSemiMixedTypes="0" containsString="0" containsNumber="1" containsInteger="1" minValue="800" maxValue="800"/>
    </cacheField>
    <cacheField name="anomaly_precision" numFmtId="0">
      <sharedItems containsSemiMixedTypes="0" containsString="0" containsNumber="1" minValue="0.12962962962962901" maxValue="0.83447098976109202"/>
    </cacheField>
    <cacheField name="anomaly_recall" numFmtId="0">
      <sharedItems containsSemiMixedTypes="0" containsString="0" containsNumber="1" minValue="1.7500000000000002E-2" maxValue="1"/>
    </cacheField>
    <cacheField name="anomaly_f1" numFmtId="0">
      <sharedItems containsSemiMixedTypes="0" containsString="0" containsNumber="1" minValue="3.0837004405286299E-2" maxValue="0.86956521739130399"/>
    </cacheField>
    <cacheField name="anomaly_support" numFmtId="0">
      <sharedItems containsSemiMixedTypes="0" containsString="0" containsNumber="1" containsInteger="1" minValue="800" maxValue="800"/>
    </cacheField>
    <cacheField name="accuracy" numFmtId="0">
      <sharedItems containsSemiMixedTypes="0" containsString="0" containsNumber="1" minValue="0.448125" maxValue="0.85"/>
    </cacheField>
    <cacheField name="macro_precision" numFmtId="0">
      <sharedItems containsSemiMixedTypes="0" containsString="0" containsNumber="1" minValue="0.25" maxValue="0.88461538461538403"/>
    </cacheField>
    <cacheField name="macro_recall" numFmtId="0">
      <sharedItems containsSemiMixedTypes="0" containsString="0" containsNumber="1" minValue="0.448125" maxValue="0.85"/>
    </cacheField>
    <cacheField name="macro_f1" numFmtId="0">
      <sharedItems containsSemiMixedTypes="0" containsString="0" containsNumber="1" minValue="0.32344642541381202" maxValue="0.84654731457800503"/>
    </cacheField>
    <cacheField name="weighted_precision" numFmtId="0">
      <sharedItems containsSemiMixedTypes="0" containsString="0" containsNumber="1" minValue="0.25" maxValue="0.88461538461538403"/>
    </cacheField>
    <cacheField name="weighted_recall" numFmtId="0">
      <sharedItems containsSemiMixedTypes="0" containsString="0" containsNumber="1" minValue="0.448125" maxValue="0.85"/>
    </cacheField>
    <cacheField name="weighted_f1" numFmtId="0">
      <sharedItems containsSemiMixedTypes="0" containsString="0" containsNumber="1" minValue="0.32344642541381202" maxValue="0.84654731457800503"/>
    </cacheField>
    <cacheField name="TN" numFmtId="0">
      <sharedItems containsSemiMixedTypes="0" containsString="0" containsNumber="1" containsInteger="1" minValue="0" maxValue="723"/>
    </cacheField>
    <cacheField name="FP" numFmtId="0">
      <sharedItems containsSemiMixedTypes="0" containsString="0" containsNumber="1" containsInteger="1" minValue="77" maxValue="800"/>
    </cacheField>
    <cacheField name="FN" numFmtId="0">
      <sharedItems containsSemiMixedTypes="0" containsString="0" containsNumber="1" containsInteger="1" minValue="0" maxValue="786"/>
    </cacheField>
    <cacheField name="TP" numFmtId="0">
      <sharedItems containsSemiMixedTypes="0" containsString="0" containsNumber="1" containsInteger="1" minValue="14" maxValue="800"/>
    </cacheField>
    <cacheField name="AUC_ROC" numFmtId="0">
      <sharedItems containsSemiMixedTypes="0" containsString="0" containsNumber="1" minValue="0.448125" maxValue="0.85" count="49">
        <n v="0.85"/>
        <n v="0.84624999999999995"/>
        <n v="0.84375"/>
        <n v="0.83624999999999905"/>
        <n v="0.83499999999999996"/>
        <n v="0.83187500000000003"/>
        <n v="0.83125000000000004"/>
        <n v="0.82937499999999997"/>
        <n v="0.77312499999999995"/>
        <n v="0.76500000000000001"/>
        <n v="0.76437500000000003"/>
        <n v="0.75437500000000002"/>
        <n v="0.74812500000000004"/>
        <n v="0.745"/>
        <n v="0.74187499999999995"/>
        <n v="0.74124999999999996"/>
        <n v="0.74"/>
        <n v="0.73687499999999995"/>
        <n v="0.73562499999999997"/>
        <n v="0.73499999999999999"/>
        <n v="0.729375"/>
        <n v="0.72875000000000001"/>
        <n v="0.72624999999999995"/>
        <n v="0.72562499999999996"/>
        <n v="0.72499999999999898"/>
        <n v="0.72499999999999998"/>
        <n v="0.72062499999999996"/>
        <n v="0.71937499999999999"/>
        <n v="0.71812500000000001"/>
        <n v="0.71624999999999905"/>
        <n v="0.71562499999999996"/>
        <n v="0.71187499999999904"/>
        <n v="0.70437499999999997"/>
        <n v="0.70062500000000005"/>
        <n v="0.68874999999999997"/>
        <n v="0.65062500000000001"/>
        <n v="0.56062499999999904"/>
        <n v="0.54749999999999899"/>
        <n v="0.54312499999999997"/>
        <n v="0.53937500000000005"/>
        <n v="0.53249999999999997"/>
        <n v="0.5"/>
        <n v="0.46437499999999998"/>
        <n v="0.46250000000000002"/>
        <n v="0.455625"/>
        <n v="0.453125"/>
        <n v="0.44999999999999901"/>
        <n v="0.45"/>
        <n v="0.448125"/>
      </sharedItems>
    </cacheField>
    <cacheField name="AUC_PR" numFmtId="0">
      <sharedItems containsSemiMixedTypes="0" containsString="0" containsNumber="1" minValue="0.48674047085201699" maxValue="0.769230769230769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n v="5"/>
    <s v="Linux"/>
    <x v="0"/>
    <x v="0"/>
    <n v="5"/>
    <n v="5"/>
    <n v="5"/>
    <n v="1"/>
    <n v="0.7"/>
    <n v="0.82352941176470495"/>
    <n v="800"/>
    <n v="0.76923076923076905"/>
    <n v="1"/>
    <n v="0.86956521739130399"/>
    <n v="800"/>
    <n v="0.85"/>
    <n v="0.88461538461538403"/>
    <n v="0.85"/>
    <n v="0.84654731457800503"/>
    <n v="0.88461538461538403"/>
    <n v="0.85"/>
    <n v="0.84654731457800503"/>
    <n v="560"/>
    <n v="240"/>
    <n v="0"/>
    <n v="800"/>
    <x v="0"/>
    <n v="0.76923076923076905"/>
  </r>
  <r>
    <n v="9"/>
    <s v="Linux"/>
    <x v="1"/>
    <x v="0"/>
    <n v="7"/>
    <n v="5"/>
    <n v="5"/>
    <n v="1"/>
    <n v="0.6925"/>
    <n v="0.81831610044313097"/>
    <n v="800"/>
    <n v="0.76481835564053502"/>
    <n v="1"/>
    <n v="0.86673889490790901"/>
    <n v="800"/>
    <n v="0.84624999999999995"/>
    <n v="0.88240917782026695"/>
    <n v="0.84624999999999995"/>
    <n v="0.84252749767552004"/>
    <n v="0.88240917782026695"/>
    <n v="0.84624999999999995"/>
    <n v="0.84252749767552004"/>
    <n v="554"/>
    <n v="246"/>
    <n v="0"/>
    <n v="800"/>
    <x v="1"/>
    <n v="0.76481835564053502"/>
  </r>
  <r>
    <n v="2"/>
    <s v="Linux"/>
    <x v="2"/>
    <x v="0"/>
    <n v="5"/>
    <n v="5"/>
    <n v="5"/>
    <n v="1"/>
    <n v="0.6875"/>
    <n v="0.81481481481481399"/>
    <n v="800"/>
    <n v="0.76190476190476097"/>
    <n v="1"/>
    <n v="0.86486486486486402"/>
    <n v="800"/>
    <n v="0.84375"/>
    <n v="0.88095238095238004"/>
    <n v="0.84375"/>
    <n v="0.83983983983983901"/>
    <n v="0.88095238095238104"/>
    <n v="0.84375"/>
    <n v="0.83983983983983901"/>
    <n v="550"/>
    <n v="250"/>
    <n v="0"/>
    <n v="800"/>
    <x v="2"/>
    <n v="0.76190476190476097"/>
  </r>
  <r>
    <n v="6"/>
    <s v="Linux"/>
    <x v="0"/>
    <x v="0"/>
    <n v="7"/>
    <n v="5"/>
    <n v="5"/>
    <n v="0.96061643835616395"/>
    <n v="0.70125000000000004"/>
    <n v="0.810693641618497"/>
    <n v="800"/>
    <n v="0.76476377952755903"/>
    <n v="0.97124999999999995"/>
    <n v="0.85572687224669597"/>
    <n v="800"/>
    <n v="0.83625000000000005"/>
    <n v="0.86269010894186104"/>
    <n v="0.83624999999999905"/>
    <n v="0.83321025693259598"/>
    <n v="0.86269010894186104"/>
    <n v="0.83625000000000005"/>
    <n v="0.83321025693259598"/>
    <n v="561"/>
    <n v="239"/>
    <n v="23"/>
    <n v="777"/>
    <x v="3"/>
    <n v="0.75715182086614097"/>
  </r>
  <r>
    <n v="8"/>
    <s v="Linux"/>
    <x v="1"/>
    <x v="0"/>
    <n v="5"/>
    <n v="5"/>
    <n v="5"/>
    <n v="1"/>
    <n v="0.67"/>
    <n v="0.80239520958083799"/>
    <n v="800"/>
    <n v="0.75187969924812004"/>
    <n v="1"/>
    <n v="0.85836909871244604"/>
    <n v="800"/>
    <n v="0.83499999999999996"/>
    <n v="0.87593984962406002"/>
    <n v="0.83499999999999996"/>
    <n v="0.83038215414664196"/>
    <n v="0.87593984962406002"/>
    <n v="0.83499999999999996"/>
    <n v="0.83038215414664196"/>
    <n v="536"/>
    <n v="264"/>
    <n v="0"/>
    <n v="800"/>
    <x v="4"/>
    <n v="0.75187969924812004"/>
  </r>
  <r>
    <n v="4"/>
    <s v="Linux"/>
    <x v="0"/>
    <x v="0"/>
    <n v="3"/>
    <n v="5"/>
    <n v="5"/>
    <n v="1"/>
    <n v="0.66374999999999995"/>
    <n v="0.797896318557475"/>
    <n v="800"/>
    <n v="0.74836295603367597"/>
    <n v="1"/>
    <n v="0.85607276618512496"/>
    <n v="800"/>
    <n v="0.83187500000000003"/>
    <n v="0.87418147801683799"/>
    <n v="0.83187499999999903"/>
    <n v="0.82698454237130004"/>
    <n v="0.87418147801683799"/>
    <n v="0.83187500000000003"/>
    <n v="0.82698454237130004"/>
    <n v="531"/>
    <n v="269"/>
    <n v="0"/>
    <n v="800"/>
    <x v="5"/>
    <n v="0.74836295603367597"/>
  </r>
  <r>
    <n v="1"/>
    <s v="Linux"/>
    <x v="2"/>
    <x v="0"/>
    <n v="3"/>
    <n v="5"/>
    <n v="5"/>
    <n v="1"/>
    <n v="0.66249999999999998"/>
    <n v="0.79699248120300703"/>
    <n v="800"/>
    <n v="0.74766355140186902"/>
    <n v="1"/>
    <n v="0.85561497326203195"/>
    <n v="800"/>
    <n v="0.83125000000000004"/>
    <n v="0.87383177570093395"/>
    <n v="0.83125000000000004"/>
    <n v="0.82630372723251899"/>
    <n v="0.87383177570093395"/>
    <n v="0.83125000000000004"/>
    <n v="0.82630372723251899"/>
    <n v="530"/>
    <n v="270"/>
    <n v="0"/>
    <n v="800"/>
    <x v="6"/>
    <n v="0.74766355140186902"/>
  </r>
  <r>
    <n v="3"/>
    <s v="Linux"/>
    <x v="2"/>
    <x v="0"/>
    <n v="7"/>
    <n v="5"/>
    <n v="5"/>
    <n v="1"/>
    <n v="0.65874999999999995"/>
    <n v="0.79427279577995402"/>
    <n v="800"/>
    <n v="0.74557315936626201"/>
    <n v="1"/>
    <n v="0.854244527495995"/>
    <n v="800"/>
    <n v="0.82937499999999997"/>
    <n v="0.872786579683131"/>
    <n v="0.82937499999999997"/>
    <n v="0.82425866163797501"/>
    <n v="0.872786579683131"/>
    <n v="0.82937499999999997"/>
    <n v="0.82425866163797501"/>
    <n v="527"/>
    <n v="273"/>
    <n v="0"/>
    <n v="800"/>
    <x v="7"/>
    <n v="0.74557315936626201"/>
  </r>
  <r>
    <n v="17"/>
    <s v="Linux"/>
    <x v="1"/>
    <x v="1"/>
    <n v="5"/>
    <n v="5"/>
    <n v="5"/>
    <n v="0.75495915985997597"/>
    <n v="0.80874999999999997"/>
    <n v="0.78092939046469501"/>
    <n v="800"/>
    <n v="0.79407806191117003"/>
    <n v="0.73750000000000004"/>
    <n v="0.76474400518470498"/>
    <n v="800"/>
    <n v="0.77312499999999995"/>
    <n v="0.77451861088557294"/>
    <n v="0.77312499999999995"/>
    <n v="0.77283669782469999"/>
    <n v="0.77451861088557294"/>
    <n v="0.77312499999999995"/>
    <n v="0.77283669782469999"/>
    <n v="647"/>
    <n v="153"/>
    <n v="210"/>
    <n v="590"/>
    <x v="8"/>
    <n v="0.71688257065948802"/>
  </r>
  <r>
    <n v="26"/>
    <s v="Linux"/>
    <x v="1"/>
    <x v="2"/>
    <n v="5"/>
    <n v="5"/>
    <n v="5"/>
    <n v="0.74197120708748598"/>
    <n v="0.83750000000000002"/>
    <n v="0.78684674104521402"/>
    <n v="800"/>
    <n v="0.81348637015781899"/>
    <n v="0.70874999999999999"/>
    <n v="0.75751503006012"/>
    <n v="800"/>
    <n v="0.77312499999999995"/>
    <n v="0.77772878862265205"/>
    <n v="0.77312499999999995"/>
    <n v="0.77218088555266695"/>
    <n v="0.77772878862265205"/>
    <n v="0.77312499999999995"/>
    <n v="0.77218088555266695"/>
    <n v="670"/>
    <n v="130"/>
    <n v="233"/>
    <n v="567"/>
    <x v="8"/>
    <n v="0.72218346484935403"/>
  </r>
  <r>
    <n v="32"/>
    <s v="Linux"/>
    <x v="0"/>
    <x v="3"/>
    <n v="5"/>
    <n v="5"/>
    <n v="5"/>
    <n v="0.72268907563025198"/>
    <n v="0.86"/>
    <n v="0.78538812785388101"/>
    <n v="800"/>
    <n v="0.82716049382715995"/>
    <n v="0.67"/>
    <n v="0.74033149171270696"/>
    <n v="800"/>
    <n v="0.76500000000000001"/>
    <n v="0.77492478472870596"/>
    <n v="0.76500000000000001"/>
    <n v="0.76285980978329404"/>
    <n v="0.77492478472870596"/>
    <n v="0.76500000000000001"/>
    <n v="0.76285980978329404"/>
    <n v="688"/>
    <n v="112"/>
    <n v="264"/>
    <n v="536"/>
    <x v="9"/>
    <n v="0.71919753086419702"/>
  </r>
  <r>
    <n v="23"/>
    <s v="Linux"/>
    <x v="0"/>
    <x v="2"/>
    <n v="5"/>
    <n v="5"/>
    <n v="5"/>
    <n v="0.73631284916201101"/>
    <n v="0.82374999999999998"/>
    <n v="0.77758112094395204"/>
    <n v="800"/>
    <n v="0.8"/>
    <n v="0.70499999999999996"/>
    <n v="0.74950166112956795"/>
    <n v="800"/>
    <n v="0.76437500000000003"/>
    <n v="0.76815642458100497"/>
    <n v="0.76437500000000003"/>
    <n v="0.76354139103676"/>
    <n v="0.76815642458100497"/>
    <n v="0.76437500000000003"/>
    <n v="0.76354139103676"/>
    <n v="659"/>
    <n v="141"/>
    <n v="236"/>
    <n v="564"/>
    <x v="10"/>
    <n v="0.71150000000000002"/>
  </r>
  <r>
    <n v="29"/>
    <s v="Linux"/>
    <x v="2"/>
    <x v="3"/>
    <n v="5"/>
    <n v="5"/>
    <n v="5"/>
    <n v="0.73151308304891904"/>
    <n v="0.80374999999999996"/>
    <n v="0.765932102441929"/>
    <n v="800"/>
    <n v="0.78224687933425796"/>
    <n v="0.70499999999999996"/>
    <n v="0.74161735700197196"/>
    <n v="800"/>
    <n v="0.75437500000000002"/>
    <n v="0.75687998119158795"/>
    <n v="0.75437500000000002"/>
    <n v="0.75377472972195103"/>
    <n v="0.75687998119158795"/>
    <n v="0.75437500000000002"/>
    <n v="0.75377472972195003"/>
    <n v="643"/>
    <n v="157"/>
    <n v="236"/>
    <n v="564"/>
    <x v="11"/>
    <n v="0.698984049930651"/>
  </r>
  <r>
    <n v="20"/>
    <s v="Linux"/>
    <x v="2"/>
    <x v="2"/>
    <n v="5"/>
    <n v="5"/>
    <n v="5"/>
    <n v="0.72842347525891804"/>
    <n v="0.79125000000000001"/>
    <n v="0.75853804673457104"/>
    <n v="800"/>
    <n v="0.77154582763337898"/>
    <n v="0.70499999999999996"/>
    <n v="0.73677335075114303"/>
    <n v="800"/>
    <n v="0.74812500000000004"/>
    <n v="0.74998465144614801"/>
    <n v="0.74812499999999904"/>
    <n v="0.74765569874285698"/>
    <n v="0.74998465144614801"/>
    <n v="0.74812500000000004"/>
    <n v="0.74765569874285698"/>
    <n v="633"/>
    <n v="167"/>
    <n v="236"/>
    <n v="564"/>
    <x v="12"/>
    <n v="0.69143980848153197"/>
  </r>
  <r>
    <n v="50"/>
    <s v="Linux"/>
    <x v="0"/>
    <x v="4"/>
    <n v="5"/>
    <n v="5"/>
    <n v="5"/>
    <n v="0.69329388560157701"/>
    <n v="0.87875000000000003"/>
    <n v="0.77508269018743103"/>
    <n v="800"/>
    <n v="0.83447098976109202"/>
    <n v="0.61124999999999996"/>
    <n v="0.70562770562770505"/>
    <n v="800"/>
    <n v="0.745"/>
    <n v="0.76388243768133501"/>
    <n v="0.745"/>
    <n v="0.74035519790756799"/>
    <n v="0.76388243768133501"/>
    <n v="0.745"/>
    <n v="0.74035519790756799"/>
    <n v="703"/>
    <n v="97"/>
    <n v="311"/>
    <n v="489"/>
    <x v="13"/>
    <n v="0.70444539249146698"/>
  </r>
  <r>
    <n v="53"/>
    <s v="Linux"/>
    <x v="1"/>
    <x v="4"/>
    <n v="5"/>
    <n v="5"/>
    <n v="5"/>
    <n v="0.69177403369672896"/>
    <n v="0.87250000000000005"/>
    <n v="0.77169707020453204"/>
    <n v="800"/>
    <n v="0.82741116751268995"/>
    <n v="0.61124999999999996"/>
    <n v="0.70309130122214203"/>
    <n v="800"/>
    <n v="0.74187499999999995"/>
    <n v="0.75959260060470901"/>
    <n v="0.74187499999999995"/>
    <n v="0.73739418571333704"/>
    <n v="0.75959260060471001"/>
    <n v="0.74187499999999995"/>
    <n v="0.73739418571333704"/>
    <n v="698"/>
    <n v="102"/>
    <n v="311"/>
    <n v="489"/>
    <x v="14"/>
    <n v="0.70013007614213196"/>
  </r>
  <r>
    <n v="41"/>
    <s v="Linux"/>
    <x v="0"/>
    <x v="5"/>
    <n v="5"/>
    <n v="5"/>
    <n v="5"/>
    <n v="0.69146825396825395"/>
    <n v="0.87124999999999997"/>
    <n v="0.77101769911504403"/>
    <n v="800"/>
    <n v="0.82601351351351304"/>
    <n v="0.61124999999999996"/>
    <n v="0.70258620689655105"/>
    <n v="800"/>
    <n v="0.74124999999999996"/>
    <n v="0.758740883740883"/>
    <n v="0.74124999999999996"/>
    <n v="0.73680195300579798"/>
    <n v="0.758740883740883"/>
    <n v="0.74124999999999996"/>
    <n v="0.73680195300579798"/>
    <n v="697"/>
    <n v="103"/>
    <n v="311"/>
    <n v="489"/>
    <x v="15"/>
    <n v="0.69927576013513504"/>
  </r>
  <r>
    <n v="44"/>
    <s v="Linux"/>
    <x v="1"/>
    <x v="5"/>
    <n v="5"/>
    <n v="5"/>
    <n v="5"/>
    <n v="0.69085487077534702"/>
    <n v="0.86875000000000002"/>
    <n v="0.769656699889258"/>
    <n v="800"/>
    <n v="0.82323232323232298"/>
    <n v="0.61124999999999996"/>
    <n v="0.70157819225250995"/>
    <n v="800"/>
    <n v="0.74"/>
    <n v="0.75704359700383494"/>
    <n v="0.74"/>
    <n v="0.73561744607088397"/>
    <n v="0.75704359700383494"/>
    <n v="0.74"/>
    <n v="0.73561744607088397"/>
    <n v="695"/>
    <n v="105"/>
    <n v="311"/>
    <n v="489"/>
    <x v="16"/>
    <n v="0.69757575757575696"/>
  </r>
  <r>
    <n v="10"/>
    <s v="Linux"/>
    <x v="2"/>
    <x v="1"/>
    <n v="3"/>
    <n v="5"/>
    <n v="5"/>
    <n v="0.73717146433041303"/>
    <n v="0.73624999999999996"/>
    <n v="0.73671044402751695"/>
    <n v="800"/>
    <n v="0.73657927590511796"/>
    <n v="0.73750000000000004"/>
    <n v="0.737039350405996"/>
    <n v="800"/>
    <n v="0.73687499999999995"/>
    <n v="0.73687537011776505"/>
    <n v="0.73687499999999995"/>
    <n v="0.73687489721675603"/>
    <n v="0.73687537011776505"/>
    <n v="0.73687499999999995"/>
    <n v="0.73687489721675603"/>
    <n v="589"/>
    <n v="211"/>
    <n v="210"/>
    <n v="590"/>
    <x v="17"/>
    <n v="0.67447721598002497"/>
  </r>
  <r>
    <n v="35"/>
    <s v="Linux"/>
    <x v="1"/>
    <x v="3"/>
    <n v="5"/>
    <n v="5"/>
    <n v="5"/>
    <n v="0.68982880161127802"/>
    <n v="0.85624999999999996"/>
    <n v="0.76408254322364699"/>
    <n v="800"/>
    <n v="0.81054365733113598"/>
    <n v="0.61499999999999999"/>
    <n v="0.69936034115138501"/>
    <n v="800"/>
    <n v="0.73562499999999997"/>
    <n v="0.75018622947120694"/>
    <n v="0.73562499999999997"/>
    <n v="0.731721442187516"/>
    <n v="0.75018622947120694"/>
    <n v="0.73562499999999997"/>
    <n v="0.731721442187516"/>
    <n v="685"/>
    <n v="115"/>
    <n v="308"/>
    <n v="492"/>
    <x v="18"/>
    <n v="0.69098434925864904"/>
  </r>
  <r>
    <n v="16"/>
    <s v="Linux"/>
    <x v="1"/>
    <x v="1"/>
    <n v="3"/>
    <n v="5"/>
    <n v="5"/>
    <n v="0.73618090452261298"/>
    <n v="0.73250000000000004"/>
    <n v="0.73433583959899695"/>
    <n v="800"/>
    <n v="0.73383084577114399"/>
    <n v="0.73750000000000004"/>
    <n v="0.73566084788029895"/>
    <n v="800"/>
    <n v="0.73499999999999999"/>
    <n v="0.73500587514687798"/>
    <n v="0.73499999999999999"/>
    <n v="0.73499834373964801"/>
    <n v="0.73500587514687798"/>
    <n v="0.73499999999999999"/>
    <n v="0.73499834373964801"/>
    <n v="586"/>
    <n v="214"/>
    <n v="210"/>
    <n v="590"/>
    <x v="19"/>
    <n v="0.67245024875621895"/>
  </r>
  <r>
    <n v="34"/>
    <s v="Linux"/>
    <x v="1"/>
    <x v="3"/>
    <n v="3"/>
    <n v="5"/>
    <n v="5"/>
    <n v="0.69055036344755905"/>
    <n v="0.83125000000000004"/>
    <n v="0.75439591605218304"/>
    <n v="800"/>
    <n v="0.788069073783359"/>
    <n v="0.62749999999999995"/>
    <n v="0.69867780097425103"/>
    <n v="800"/>
    <n v="0.729375"/>
    <n v="0.73930971861545902"/>
    <n v="0.729375"/>
    <n v="0.72653685851321703"/>
    <n v="0.73930971861545902"/>
    <n v="0.729375"/>
    <n v="0.72653685851321703"/>
    <n v="665"/>
    <n v="135"/>
    <n v="298"/>
    <n v="502"/>
    <x v="20"/>
    <n v="0.68076334379905801"/>
  </r>
  <r>
    <n v="13"/>
    <s v="Linux"/>
    <x v="0"/>
    <x v="1"/>
    <n v="3"/>
    <n v="5"/>
    <n v="5"/>
    <n v="0.73282442748091603"/>
    <n v="0.72"/>
    <n v="0.72635561160151296"/>
    <n v="800"/>
    <n v="0.72481572481572398"/>
    <n v="0.73750000000000004"/>
    <n v="0.73110285006195797"/>
    <n v="800"/>
    <n v="0.72875000000000001"/>
    <n v="0.72882007614832001"/>
    <n v="0.72875000000000001"/>
    <n v="0.72872923083173502"/>
    <n v="0.72882007614832001"/>
    <n v="0.72875000000000001"/>
    <n v="0.72872923083173502"/>
    <n v="576"/>
    <n v="224"/>
    <n v="210"/>
    <n v="590"/>
    <x v="21"/>
    <n v="0.66580159705159703"/>
  </r>
  <r>
    <n v="11"/>
    <s v="Linux"/>
    <x v="2"/>
    <x v="1"/>
    <n v="5"/>
    <n v="5"/>
    <n v="5"/>
    <n v="0.71859903381642498"/>
    <n v="0.74375000000000002"/>
    <n v="0.73095823095822998"/>
    <n v="800"/>
    <n v="0.73445595854922197"/>
    <n v="0.70874999999999999"/>
    <n v="0.72137404580152598"/>
    <n v="800"/>
    <n v="0.72624999999999995"/>
    <n v="0.72652749618282297"/>
    <n v="0.72624999999999995"/>
    <n v="0.72616613837987798"/>
    <n v="0.72652749618282397"/>
    <n v="0.72624999999999995"/>
    <n v="0.72616613837987798"/>
    <n v="595"/>
    <n v="205"/>
    <n v="233"/>
    <n v="567"/>
    <x v="22"/>
    <n v="0.666170660621761"/>
  </r>
  <r>
    <n v="36"/>
    <s v="Linux"/>
    <x v="1"/>
    <x v="3"/>
    <n v="7"/>
    <n v="5"/>
    <n v="5"/>
    <n v="0.68324873096446703"/>
    <n v="0.84125000000000005"/>
    <n v="0.75406162464986004"/>
    <n v="800"/>
    <n v="0.793495934959349"/>
    <n v="0.61"/>
    <n v="0.68975265017667797"/>
    <n v="800"/>
    <n v="0.72562499999999996"/>
    <n v="0.73837233296190796"/>
    <n v="0.72562499999999996"/>
    <n v="0.72190713741326895"/>
    <n v="0.73837233296190796"/>
    <n v="0.72562499999999996"/>
    <n v="0.72190713741326895"/>
    <n v="673"/>
    <n v="127"/>
    <n v="312"/>
    <n v="488"/>
    <x v="23"/>
    <n v="0.679032520325203"/>
  </r>
  <r>
    <n v="14"/>
    <s v="Linux"/>
    <x v="0"/>
    <x v="1"/>
    <n v="5"/>
    <n v="5"/>
    <n v="5"/>
    <n v="0.71791767554479402"/>
    <n v="0.74124999999999996"/>
    <n v="0.72939729397293895"/>
    <n v="800"/>
    <n v="0.73255813953488302"/>
    <n v="0.70874999999999999"/>
    <n v="0.720457433290978"/>
    <n v="800"/>
    <n v="0.72499999999999998"/>
    <n v="0.72523790753983897"/>
    <n v="0.72499999999999998"/>
    <n v="0.72492736363195898"/>
    <n v="0.72523790753983797"/>
    <n v="0.72499999999999998"/>
    <n v="0.72492736363195898"/>
    <n v="593"/>
    <n v="207"/>
    <n v="233"/>
    <n v="567"/>
    <x v="24"/>
    <n v="0.66482558139534798"/>
  </r>
  <r>
    <n v="27"/>
    <s v="Linux"/>
    <x v="1"/>
    <x v="2"/>
    <n v="7"/>
    <n v="5"/>
    <n v="5"/>
    <n v="0.68442622950819598"/>
    <n v="0.83499999999999996"/>
    <n v="0.75225225225225201"/>
    <n v="800"/>
    <n v="0.78846153846153799"/>
    <n v="0.61499999999999999"/>
    <n v="0.69101123595505598"/>
    <n v="800"/>
    <n v="0.72499999999999998"/>
    <n v="0.73644388398486704"/>
    <n v="0.72499999999999998"/>
    <n v="0.72163174410365405"/>
    <n v="0.73644388398486704"/>
    <n v="0.72499999999999998"/>
    <n v="0.72163174410365405"/>
    <n v="668"/>
    <n v="132"/>
    <n v="308"/>
    <n v="492"/>
    <x v="25"/>
    <n v="0.67740384615384597"/>
  </r>
  <r>
    <n v="33"/>
    <s v="Linux"/>
    <x v="0"/>
    <x v="3"/>
    <n v="7"/>
    <n v="5"/>
    <n v="5"/>
    <n v="0.67738693467336597"/>
    <n v="0.84250000000000003"/>
    <n v="0.75097493036211704"/>
    <n v="800"/>
    <n v="0.79173553719008205"/>
    <n v="0.59875"/>
    <n v="0.68185053380782901"/>
    <n v="800"/>
    <n v="0.72062499999999996"/>
    <n v="0.73456123593172395"/>
    <n v="0.72062499999999996"/>
    <n v="0.71641273208497303"/>
    <n v="0.73456123593172395"/>
    <n v="0.72062499999999996"/>
    <n v="0.71641273208497303"/>
    <n v="674"/>
    <n v="126"/>
    <n v="321"/>
    <n v="479"/>
    <x v="26"/>
    <n v="0.67467665289256196"/>
  </r>
  <r>
    <n v="18"/>
    <s v="Linux"/>
    <x v="1"/>
    <x v="1"/>
    <n v="7"/>
    <n v="5"/>
    <n v="5"/>
    <n v="0.68148914167528396"/>
    <n v="0.82374999999999998"/>
    <n v="0.745897000565931"/>
    <n v="800"/>
    <n v="0.77725118483412303"/>
    <n v="0.61499999999999999"/>
    <n v="0.68667131891137401"/>
    <n v="800"/>
    <n v="0.71937499999999999"/>
    <n v="0.72937016325470305"/>
    <n v="0.71937499999999999"/>
    <n v="0.716284159738652"/>
    <n v="0.72937016325470305"/>
    <n v="0.71937499999999999"/>
    <n v="0.716284159738652"/>
    <n v="659"/>
    <n v="141"/>
    <n v="308"/>
    <n v="492"/>
    <x v="27"/>
    <n v="0.67050947867298505"/>
  </r>
  <r>
    <n v="30"/>
    <s v="Linux"/>
    <x v="2"/>
    <x v="3"/>
    <n v="7"/>
    <n v="5"/>
    <n v="5"/>
    <n v="0.68082901554404096"/>
    <n v="0.82125000000000004"/>
    <n v="0.74447592067988599"/>
    <n v="800"/>
    <n v="0.77480314960629904"/>
    <n v="0.61499999999999999"/>
    <n v="0.68571428571428505"/>
    <n v="800"/>
    <n v="0.71812500000000001"/>
    <n v="0.72781608257517005"/>
    <n v="0.71812500000000001"/>
    <n v="0.71509510319708602"/>
    <n v="0.72781608257517005"/>
    <n v="0.71812500000000001"/>
    <n v="0.71509510319708602"/>
    <n v="657"/>
    <n v="143"/>
    <n v="308"/>
    <n v="492"/>
    <x v="28"/>
    <n v="0.66900393700787397"/>
  </r>
  <r>
    <n v="24"/>
    <s v="Linux"/>
    <x v="0"/>
    <x v="2"/>
    <n v="7"/>
    <n v="5"/>
    <n v="5"/>
    <n v="0.67510121457489802"/>
    <n v="0.83374999999999999"/>
    <n v="0.74608501118568205"/>
    <n v="800"/>
    <n v="0.78267973856209105"/>
    <n v="0.59875"/>
    <n v="0.67847025495750701"/>
    <n v="800"/>
    <n v="0.71625000000000005"/>
    <n v="0.72889047656849504"/>
    <n v="0.71625000000000005"/>
    <n v="0.71227763307159397"/>
    <n v="0.72889047656849504"/>
    <n v="0.71625000000000005"/>
    <n v="0.71227763307159397"/>
    <n v="667"/>
    <n v="133"/>
    <n v="321"/>
    <n v="479"/>
    <x v="29"/>
    <n v="0.66925449346405197"/>
  </r>
  <r>
    <n v="25"/>
    <s v="Linux"/>
    <x v="1"/>
    <x v="2"/>
    <n v="3"/>
    <n v="5"/>
    <n v="5"/>
    <n v="0.68331562167906401"/>
    <n v="0.80374999999999996"/>
    <n v="0.73865594485927599"/>
    <n v="800"/>
    <n v="0.76176024279210897"/>
    <n v="0.62749999999999995"/>
    <n v="0.68814256339958801"/>
    <n v="800"/>
    <n v="0.71562499999999996"/>
    <n v="0.72253793223558704"/>
    <n v="0.71562499999999996"/>
    <n v="0.71339925412943195"/>
    <n v="0.72253793223558704"/>
    <n v="0.71562499999999996"/>
    <n v="0.71339925412943195"/>
    <n v="643"/>
    <n v="157"/>
    <n v="298"/>
    <n v="502"/>
    <x v="30"/>
    <n v="0.664254552352048"/>
  </r>
  <r>
    <n v="21"/>
    <s v="Linux"/>
    <x v="2"/>
    <x v="2"/>
    <n v="7"/>
    <n v="5"/>
    <n v="5"/>
    <n v="0.67950052029136299"/>
    <n v="0.81625000000000003"/>
    <n v="0.74162407722884705"/>
    <n v="800"/>
    <n v="0.76995305164319205"/>
    <n v="0.61499999999999999"/>
    <n v="0.68380820013898502"/>
    <n v="800"/>
    <n v="0.71562499999999996"/>
    <n v="0.72472678596727702"/>
    <n v="0.71562499999999996"/>
    <n v="0.71271613868391603"/>
    <n v="0.72472678596727702"/>
    <n v="0.71562499999999996"/>
    <n v="0.71271613868391603"/>
    <n v="653"/>
    <n v="147"/>
    <n v="308"/>
    <n v="492"/>
    <x v="30"/>
    <n v="0.66602112676056302"/>
  </r>
  <r>
    <n v="15"/>
    <s v="Linux"/>
    <x v="0"/>
    <x v="1"/>
    <n v="7"/>
    <n v="5"/>
    <n v="5"/>
    <n v="0.67637877211238295"/>
    <n v="0.8125"/>
    <n v="0.73821692220329305"/>
    <n v="800"/>
    <n v="0.76525821596244104"/>
    <n v="0.61124999999999996"/>
    <n v="0.67963863794301604"/>
    <n v="800"/>
    <n v="0.71187500000000004"/>
    <n v="0.72081849403741205"/>
    <n v="0.71187500000000004"/>
    <n v="0.70892778007315405"/>
    <n v="0.72081849403741205"/>
    <n v="0.71187500000000004"/>
    <n v="0.70892778007315405"/>
    <n v="650"/>
    <n v="150"/>
    <n v="311"/>
    <n v="489"/>
    <x v="31"/>
    <n v="0.66213908450704195"/>
  </r>
  <r>
    <n v="39"/>
    <s v="Linux"/>
    <x v="2"/>
    <x v="5"/>
    <n v="7"/>
    <n v="5"/>
    <n v="5"/>
    <n v="0.672782874617737"/>
    <n v="0.82499999999999996"/>
    <n v="0.74115665356541205"/>
    <n v="800"/>
    <n v="0.77382875605815804"/>
    <n v="0.59875"/>
    <n v="0.67512332628611704"/>
    <n v="800"/>
    <n v="0.71187500000000004"/>
    <n v="0.72330581533794702"/>
    <n v="0.71187500000000004"/>
    <n v="0.70813998992576399"/>
    <n v="0.72330581533794702"/>
    <n v="0.71187500000000004"/>
    <n v="0.70813998992576399"/>
    <n v="660"/>
    <n v="140"/>
    <n v="321"/>
    <n v="479"/>
    <x v="31"/>
    <n v="0.66395496768982198"/>
  </r>
  <r>
    <n v="31"/>
    <s v="Linux"/>
    <x v="0"/>
    <x v="3"/>
    <n v="3"/>
    <n v="5"/>
    <n v="5"/>
    <n v="0.67713976164680301"/>
    <n v="0.78125"/>
    <n v="0.725478816018572"/>
    <n v="800"/>
    <n v="0.74150664697193502"/>
    <n v="0.62749999999999995"/>
    <n v="0.67975626269465095"/>
    <n v="800"/>
    <n v="0.70437499999999997"/>
    <n v="0.70932320430936902"/>
    <n v="0.70437499999999997"/>
    <n v="0.70261753935661098"/>
    <n v="0.70932320430936902"/>
    <n v="0.70437499999999997"/>
    <n v="0.70261753935661098"/>
    <n v="625"/>
    <n v="175"/>
    <n v="298"/>
    <n v="502"/>
    <x v="32"/>
    <n v="0.65154542097488899"/>
  </r>
  <r>
    <n v="12"/>
    <s v="Linux"/>
    <x v="2"/>
    <x v="1"/>
    <n v="7"/>
    <n v="5"/>
    <n v="5"/>
    <n v="0.68013468013468004"/>
    <n v="0.75749999999999995"/>
    <n v="0.71673565937315198"/>
    <n v="800"/>
    <n v="0.72637517630465398"/>
    <n v="0.64375000000000004"/>
    <n v="0.68257123923127905"/>
    <n v="800"/>
    <n v="0.70062500000000005"/>
    <n v="0.70325492821966695"/>
    <n v="0.70062500000000005"/>
    <n v="0.69965344930221496"/>
    <n v="0.70325492821966695"/>
    <n v="0.70062500000000005"/>
    <n v="0.69965344930221496"/>
    <n v="606"/>
    <n v="194"/>
    <n v="285"/>
    <n v="515"/>
    <x v="33"/>
    <n v="0.64572901974612096"/>
  </r>
  <r>
    <n v="22"/>
    <s v="Linux"/>
    <x v="0"/>
    <x v="2"/>
    <n v="3"/>
    <n v="5"/>
    <n v="5"/>
    <n v="0.66815144766146894"/>
    <n v="0.75"/>
    <n v="0.70671378091872705"/>
    <n v="800"/>
    <n v="0.71509971509971504"/>
    <n v="0.62749999999999995"/>
    <n v="0.66844207723035898"/>
    <n v="800"/>
    <n v="0.68874999999999997"/>
    <n v="0.69162558138059205"/>
    <n v="0.68874999999999997"/>
    <n v="0.68757792907454296"/>
    <n v="0.69162558138059205"/>
    <n v="0.68874999999999997"/>
    <n v="0.68757792907454296"/>
    <n v="600"/>
    <n v="200"/>
    <n v="298"/>
    <n v="502"/>
    <x v="34"/>
    <n v="0.63497507122507102"/>
  </r>
  <r>
    <n v="45"/>
    <s v="Linux"/>
    <x v="1"/>
    <x v="5"/>
    <n v="7"/>
    <n v="5"/>
    <n v="5"/>
    <n v="0.60203217612193005"/>
    <n v="0.88875000000000004"/>
    <n v="0.71781928319030797"/>
    <n v="800"/>
    <n v="0.78758949880668205"/>
    <n v="0.41249999999999998"/>
    <n v="0.54142739950779295"/>
    <n v="800"/>
    <n v="0.65062500000000001"/>
    <n v="0.69481083746430605"/>
    <n v="0.65062500000000001"/>
    <n v="0.62962334134904996"/>
    <n v="0.69481083746430605"/>
    <n v="0.65062500000000001"/>
    <n v="0.62962334134904996"/>
    <n v="711"/>
    <n v="89"/>
    <n v="470"/>
    <n v="330"/>
    <x v="35"/>
    <n v="0.61863066825775603"/>
  </r>
  <r>
    <n v="38"/>
    <s v="Linux"/>
    <x v="2"/>
    <x v="5"/>
    <n v="5"/>
    <n v="5"/>
    <n v="5"/>
    <n v="0.540585774058577"/>
    <n v="0.8075"/>
    <n v="0.64761904761904698"/>
    <n v="800"/>
    <n v="0.61975308641975302"/>
    <n v="0.31374999999999997"/>
    <n v="0.416597510373443"/>
    <n v="800"/>
    <n v="0.56062500000000004"/>
    <n v="0.58016943023916501"/>
    <n v="0.56062499999999904"/>
    <n v="0.53210827899624502"/>
    <n v="0.58016943023916501"/>
    <n v="0.56062500000000004"/>
    <n v="0.53210827899624502"/>
    <n v="646"/>
    <n v="154"/>
    <n v="549"/>
    <n v="251"/>
    <x v="36"/>
    <n v="0.53757253086419698"/>
  </r>
  <r>
    <n v="47"/>
    <s v="Linux"/>
    <x v="2"/>
    <x v="4"/>
    <n v="5"/>
    <n v="5"/>
    <n v="5"/>
    <n v="0.53039999999999998"/>
    <n v="0.82874999999999999"/>
    <n v="0.64682926829268195"/>
    <n v="800"/>
    <n v="0.60857142857142799"/>
    <n v="0.26624999999999999"/>
    <n v="0.370434782608695"/>
    <n v="800"/>
    <n v="0.54749999999999999"/>
    <n v="0.56948571428571404"/>
    <n v="0.54749999999999999"/>
    <n v="0.50863202545068897"/>
    <n v="0.56948571428571404"/>
    <n v="0.54749999999999999"/>
    <n v="0.50863202545068897"/>
    <n v="663"/>
    <n v="137"/>
    <n v="587"/>
    <n v="213"/>
    <x v="37"/>
    <n v="0.52890714285714202"/>
  </r>
  <r>
    <n v="19"/>
    <s v="Linux"/>
    <x v="2"/>
    <x v="2"/>
    <n v="3"/>
    <n v="5"/>
    <n v="5"/>
    <n v="0.52971576227390105"/>
    <n v="0.76875000000000004"/>
    <n v="0.62723100458949499"/>
    <n v="800"/>
    <n v="0.57858769931662801"/>
    <n v="0.3175"/>
    <n v="0.41000807102502002"/>
    <n v="800"/>
    <n v="0.54312499999999997"/>
    <n v="0.55415173079526503"/>
    <n v="0.54312499999999997"/>
    <n v="0.518619537807257"/>
    <n v="0.55415173079526503"/>
    <n v="0.54312499999999997"/>
    <n v="0.518619537807257"/>
    <n v="615"/>
    <n v="185"/>
    <n v="546"/>
    <n v="254"/>
    <x v="38"/>
    <n v="0.52495159453302898"/>
  </r>
  <r>
    <n v="28"/>
    <s v="Linux"/>
    <x v="2"/>
    <x v="3"/>
    <n v="3"/>
    <n v="5"/>
    <n v="5"/>
    <n v="0.52971576227390105"/>
    <n v="0.76875000000000004"/>
    <n v="0.62723100458949499"/>
    <n v="800"/>
    <n v="0.57858769931662801"/>
    <n v="0.3175"/>
    <n v="0.41000807102502002"/>
    <n v="800"/>
    <n v="0.54312499999999997"/>
    <n v="0.55415173079526503"/>
    <n v="0.54312499999999997"/>
    <n v="0.518619537807257"/>
    <n v="0.55415173079526503"/>
    <n v="0.54312499999999997"/>
    <n v="0.518619537807257"/>
    <n v="615"/>
    <n v="185"/>
    <n v="546"/>
    <n v="254"/>
    <x v="38"/>
    <n v="0.52495159453302898"/>
  </r>
  <r>
    <n v="37"/>
    <s v="Linux"/>
    <x v="2"/>
    <x v="5"/>
    <n v="3"/>
    <n v="5"/>
    <n v="5"/>
    <n v="0.52658227848101202"/>
    <n v="0.78"/>
    <n v="0.62871536523929406"/>
    <n v="800"/>
    <n v="0.575903614457831"/>
    <n v="0.29875000000000002"/>
    <n v="0.39341563786008199"/>
    <n v="800"/>
    <n v="0.53937500000000005"/>
    <n v="0.55124294646942196"/>
    <n v="0.53937500000000005"/>
    <n v="0.51106550154968799"/>
    <n v="0.55124294646942196"/>
    <n v="0.53937500000000005"/>
    <n v="0.51106550154968799"/>
    <n v="624"/>
    <n v="176"/>
    <n v="561"/>
    <n v="239"/>
    <x v="39"/>
    <n v="0.52267620481927701"/>
  </r>
  <r>
    <n v="46"/>
    <s v="Linux"/>
    <x v="2"/>
    <x v="4"/>
    <n v="3"/>
    <n v="5"/>
    <n v="5"/>
    <n v="0.52658227848101202"/>
    <n v="0.78"/>
    <n v="0.62871536523929406"/>
    <n v="800"/>
    <n v="0.575903614457831"/>
    <n v="0.29875000000000002"/>
    <n v="0.39341563786008199"/>
    <n v="800"/>
    <n v="0.53937500000000005"/>
    <n v="0.55124294646942196"/>
    <n v="0.53937500000000005"/>
    <n v="0.51106550154968799"/>
    <n v="0.55124294646942196"/>
    <n v="0.53937500000000005"/>
    <n v="0.51106550154968799"/>
    <n v="624"/>
    <n v="176"/>
    <n v="561"/>
    <n v="239"/>
    <x v="39"/>
    <n v="0.52267620481927701"/>
  </r>
  <r>
    <n v="48"/>
    <s v="Linux"/>
    <x v="2"/>
    <x v="4"/>
    <n v="7"/>
    <n v="5"/>
    <n v="5"/>
    <n v="0.51969696969696899"/>
    <n v="0.85750000000000004"/>
    <n v="0.64716981132075402"/>
    <n v="800"/>
    <n v="0.59285714285714197"/>
    <n v="0.20749999999999999"/>
    <n v="0.30740740740740702"/>
    <n v="800"/>
    <n v="0.53249999999999997"/>
    <n v="0.55627705627705604"/>
    <n v="0.53249999999999997"/>
    <n v="0.47728860936408102"/>
    <n v="0.55627705627705604"/>
    <n v="0.53249999999999997"/>
    <n v="0.47728860936408102"/>
    <n v="686"/>
    <n v="114"/>
    <n v="634"/>
    <n v="166"/>
    <x v="40"/>
    <n v="0.51926785714285695"/>
  </r>
  <r>
    <n v="7"/>
    <s v="Linux"/>
    <x v="1"/>
    <x v="0"/>
    <n v="3"/>
    <n v="5"/>
    <n v="5"/>
    <n v="0"/>
    <n v="0"/>
    <n v="0"/>
    <n v="800"/>
    <n v="0.5"/>
    <n v="1"/>
    <n v="0.66666666666666596"/>
    <n v="800"/>
    <n v="0.5"/>
    <n v="0.25"/>
    <n v="0.5"/>
    <n v="0.33333333333333298"/>
    <n v="0.25"/>
    <n v="0.5"/>
    <n v="0.33333333333333298"/>
    <n v="0"/>
    <n v="800"/>
    <n v="0"/>
    <n v="800"/>
    <x v="41"/>
    <n v="0.5"/>
  </r>
  <r>
    <n v="40"/>
    <s v="Linux"/>
    <x v="0"/>
    <x v="5"/>
    <n v="3"/>
    <n v="5"/>
    <n v="5"/>
    <n v="0.47930283224400799"/>
    <n v="0.82499999999999996"/>
    <n v="0.60633899862195595"/>
    <n v="800"/>
    <n v="0.37219730941703999"/>
    <n v="0.10375"/>
    <n v="0.16226783968719399"/>
    <n v="800"/>
    <n v="0.46437499999999998"/>
    <n v="0.42575007083052402"/>
    <n v="0.46437499999999998"/>
    <n v="0.384303419154575"/>
    <n v="0.42575007083052402"/>
    <n v="0.46437499999999998"/>
    <n v="0.384303419154575"/>
    <n v="660"/>
    <n v="140"/>
    <n v="717"/>
    <n v="83"/>
    <x v="42"/>
    <n v="0.48674047085201699"/>
  </r>
  <r>
    <n v="54"/>
    <s v="Linux"/>
    <x v="1"/>
    <x v="4"/>
    <n v="7"/>
    <n v="5"/>
    <n v="5"/>
    <n v="0.48007968127490003"/>
    <n v="0.90375000000000005"/>
    <n v="0.62705984388551606"/>
    <n v="800"/>
    <n v="0.180851063829787"/>
    <n v="2.1250000000000002E-2"/>
    <n v="3.8031319910514498E-2"/>
    <n v="800"/>
    <n v="0.46250000000000002"/>
    <n v="0.33046537255234298"/>
    <n v="0.46250000000000002"/>
    <n v="0.33254558189801497"/>
    <n v="0.33046537255234298"/>
    <n v="0.46250000000000002"/>
    <n v="0.33254558189801497"/>
    <n v="723"/>
    <n v="77"/>
    <n v="783"/>
    <n v="17"/>
    <x v="43"/>
    <n v="0.49321808510638299"/>
  </r>
  <r>
    <n v="51"/>
    <s v="Linux"/>
    <x v="0"/>
    <x v="4"/>
    <n v="7"/>
    <n v="5"/>
    <n v="5"/>
    <n v="0.47625418060200603"/>
    <n v="0.89"/>
    <n v="0.62047930283224395"/>
    <n v="800"/>
    <n v="0.161904761904761"/>
    <n v="2.1250000000000002E-2"/>
    <n v="3.75690607734806E-2"/>
    <n v="800"/>
    <n v="0.455625"/>
    <n v="0.31907947125338398"/>
    <n v="0.455625"/>
    <n v="0.32902418180286203"/>
    <n v="0.31907947125338398"/>
    <n v="0.455625"/>
    <n v="0.32902418180286203"/>
    <n v="712"/>
    <n v="88"/>
    <n v="783"/>
    <n v="17"/>
    <x v="44"/>
    <n v="0.492815476190476"/>
  </r>
  <r>
    <n v="52"/>
    <s v="Linux"/>
    <x v="1"/>
    <x v="4"/>
    <n v="3"/>
    <n v="5"/>
    <n v="5"/>
    <n v="0.47494989979959901"/>
    <n v="0.88875000000000004"/>
    <n v="0.61906835002176697"/>
    <n v="800"/>
    <n v="0.13592233009708701"/>
    <n v="1.7500000000000002E-2"/>
    <n v="3.1007751937984399E-2"/>
    <n v="800"/>
    <n v="0.453125"/>
    <n v="0.305436114948343"/>
    <n v="0.453125"/>
    <n v="0.32503805097987598"/>
    <n v="0.305436114948343"/>
    <n v="0.453125"/>
    <n v="0.32503805097987598"/>
    <n v="711"/>
    <n v="89"/>
    <n v="786"/>
    <n v="14"/>
    <x v="45"/>
    <n v="0.49362864077669899"/>
  </r>
  <r>
    <n v="42"/>
    <s v="Linux"/>
    <x v="0"/>
    <x v="5"/>
    <n v="7"/>
    <n v="5"/>
    <n v="5"/>
    <n v="0.47300944669365702"/>
    <n v="0.87624999999999997"/>
    <n v="0.61437335670464499"/>
    <n v="800"/>
    <n v="0.161016949152542"/>
    <n v="2.375E-2"/>
    <n v="4.1394335511982502E-2"/>
    <n v="800"/>
    <n v="0.45"/>
    <n v="0.31701319792309901"/>
    <n v="0.45"/>
    <n v="0.327883846108313"/>
    <n v="0.31701319792309901"/>
    <n v="0.45"/>
    <n v="0.327883846108313"/>
    <n v="701"/>
    <n v="99"/>
    <n v="781"/>
    <n v="19"/>
    <x v="46"/>
    <n v="0.49194915254237198"/>
  </r>
  <r>
    <n v="43"/>
    <s v="Linux"/>
    <x v="1"/>
    <x v="5"/>
    <n v="3"/>
    <n v="5"/>
    <n v="5"/>
    <n v="0.47319034852546898"/>
    <n v="0.88249999999999995"/>
    <n v="0.61605584642233802"/>
    <n v="800"/>
    <n v="0.12962962962962901"/>
    <n v="1.7500000000000002E-2"/>
    <n v="3.0837004405286299E-2"/>
    <n v="800"/>
    <n v="0.45"/>
    <n v="0.30140998907754901"/>
    <n v="0.44999999999999901"/>
    <n v="0.32344642541381202"/>
    <n v="0.30140998907754901"/>
    <n v="0.45"/>
    <n v="0.32344642541381202"/>
    <n v="706"/>
    <n v="94"/>
    <n v="786"/>
    <n v="14"/>
    <x v="47"/>
    <n v="0.49351851851851802"/>
  </r>
  <r>
    <n v="49"/>
    <s v="Linux"/>
    <x v="0"/>
    <x v="4"/>
    <n v="3"/>
    <n v="5"/>
    <n v="5"/>
    <n v="0.472053872053872"/>
    <n v="0.87624999999999997"/>
    <n v="0.61356673960612695"/>
    <n v="800"/>
    <n v="0.139130434782608"/>
    <n v="0.02"/>
    <n v="3.4972677595628401E-2"/>
    <n v="800"/>
    <n v="0.448125"/>
    <n v="0.30559215341823998"/>
    <n v="0.448125"/>
    <n v="0.324269708600877"/>
    <n v="0.30559215341823998"/>
    <n v="0.448125"/>
    <n v="0.324269708600877"/>
    <n v="701"/>
    <n v="99"/>
    <n v="784"/>
    <n v="16"/>
    <x v="48"/>
    <n v="0.492782608695651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704673-D275-4189-A6EE-D87DBE66B7B6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top_k">
  <location ref="A3:D10" firstHeaderRow="0" firstDataRow="1" firstDataCol="1"/>
  <pivotFields count="28">
    <pivotField showAll="0"/>
    <pivotField showAll="0"/>
    <pivotField showAll="0"/>
    <pivotField axis="axisRow" showAll="0" sortType="ascending">
      <items count="7">
        <item x="0"/>
        <item x="1"/>
        <item x="2"/>
        <item x="3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nomaly_recall" fld="12" subtotal="average" baseField="3" baseItem="0"/>
    <dataField name="Average of anomaly_precision" fld="11" subtotal="average" baseField="3" baseItem="0"/>
    <dataField name="Average of anomaly_f1" fld="13" subtotal="average" baseField="3" baseItem="0"/>
  </dataFields>
  <conditionalFormats count="1">
    <conditionalFormat priority="1">
      <pivotAreas count="1">
        <pivotArea type="data" outline="0" collapsedLevelsAreSubtotals="1" fieldPosition="0"/>
      </pivotAreas>
    </conditionalFormat>
  </conditionalFormat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04D356-B7F1-4549-B743-4BC85DD894D8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train_samples">
  <location ref="A3:E7" firstHeaderRow="0" firstDataRow="1" firstDataCol="1"/>
  <pivotFields count="28"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accuracy" fld="15" subtotal="average" baseField="2" baseItem="0"/>
    <dataField name="Average of anomaly_precision" fld="11" subtotal="average" baseField="2" baseItem="0"/>
    <dataField name="Average of anomaly_recall" fld="12" subtotal="average" baseField="2" baseItem="0"/>
    <dataField name="Average of anomaly_f1" fld="13" subtotal="average" baseField="2" baseItem="0"/>
  </dataFields>
  <conditionalFormats count="1">
    <conditionalFormat priority="1">
      <pivotAreas count="1">
        <pivotArea type="data" outline="0" collapsedLevelsAreSubtotals="1" fieldPosition="0"/>
      </pivotAreas>
    </conditionalFormat>
  </conditional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C48790-F531-4BBE-9667-45A9052A1721}" name="PivotTable9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op_k" colHeaderCaption="train_samples">
  <location ref="G29:K37" firstHeaderRow="1" firstDataRow="2" firstDataCol="1"/>
  <pivotFields count="28">
    <pivotField showAll="0"/>
    <pivotField showAll="0"/>
    <pivotField axis="axisCol" showAll="0">
      <items count="4">
        <item x="2"/>
        <item x="0"/>
        <item x="1"/>
        <item t="default"/>
      </items>
    </pivotField>
    <pivotField axis="axisRow" showAll="0" sortType="descending">
      <items count="7">
        <item x="0"/>
        <item x="1"/>
        <item x="2"/>
        <item x="3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7">
    <i>
      <x/>
    </i>
    <i>
      <x v="1"/>
    </i>
    <i>
      <x v="3"/>
    </i>
    <i>
      <x v="2"/>
    </i>
    <i>
      <x v="4"/>
    </i>
    <i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Average of AUC_PR" fld="27" subtotal="average" baseField="3" baseItem="3" numFmtId="168"/>
  </dataFields>
  <conditionalFormats count="1">
    <conditionalFormat priority="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C87EB6-68CE-43E0-9445-D3D49FBB42A8}" name="PivotTable8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op_k" colHeaderCaption="train_samples">
  <location ref="A29:E37" firstHeaderRow="1" firstDataRow="2" firstDataCol="1"/>
  <pivotFields count="28">
    <pivotField showAll="0"/>
    <pivotField showAll="0"/>
    <pivotField axis="axisCol" showAll="0">
      <items count="4">
        <item x="2"/>
        <item x="0"/>
        <item x="1"/>
        <item t="default"/>
      </items>
    </pivotField>
    <pivotField axis="axisRow" showAll="0" sortType="descending">
      <items count="7">
        <item x="0"/>
        <item x="1"/>
        <item x="2"/>
        <item x="3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7">
    <i>
      <x/>
    </i>
    <i>
      <x v="1"/>
    </i>
    <i>
      <x v="3"/>
    </i>
    <i>
      <x v="2"/>
    </i>
    <i>
      <x v="4"/>
    </i>
    <i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Average of AUC_ROC" fld="26" subtotal="average" baseField="3" baseItem="1" numFmtId="168"/>
  </dataFields>
  <conditionalFormats count="1">
    <conditionalFormat priority="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4F5BBA-ED69-4C5A-A8B2-835FDD787239}" name="PivotTable7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op_k" colHeaderCaption="train_samples">
  <location ref="G16:K24" firstHeaderRow="1" firstDataRow="2" firstDataCol="1"/>
  <pivotFields count="28">
    <pivotField showAll="0"/>
    <pivotField showAll="0"/>
    <pivotField axis="axisCol" showAll="0">
      <items count="4">
        <item x="2"/>
        <item x="0"/>
        <item x="1"/>
        <item t="default"/>
      </items>
    </pivotField>
    <pivotField axis="axisRow" showAll="0" sortType="descending">
      <items count="7">
        <item x="0"/>
        <item x="1"/>
        <item x="2"/>
        <item x="3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3"/>
    </i>
    <i>
      <x v="2"/>
    </i>
    <i>
      <x v="4"/>
    </i>
    <i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Average of accuracy" fld="15" subtotal="average" baseField="3" baseItem="3" numFmtId="168"/>
  </dataFields>
  <conditionalFormats count="1">
    <conditionalFormat priority="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B085B1-DC17-4402-8801-4C4C00311222}" name="PivotTable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op_k" colHeaderCaption="train_samples">
  <location ref="A16:E24" firstHeaderRow="1" firstDataRow="2" firstDataCol="1"/>
  <pivotFields count="28">
    <pivotField showAll="0"/>
    <pivotField showAll="0"/>
    <pivotField axis="axisCol" showAll="0">
      <items count="4">
        <item x="2"/>
        <item x="0"/>
        <item x="1"/>
        <item t="default"/>
      </items>
    </pivotField>
    <pivotField axis="axisRow" showAll="0" sortType="descending">
      <items count="7">
        <item x="0"/>
        <item x="1"/>
        <item x="2"/>
        <item x="3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 v="3"/>
    </i>
    <i>
      <x v="2"/>
    </i>
    <i>
      <x v="1"/>
    </i>
    <i>
      <x/>
    </i>
    <i>
      <x v="4"/>
    </i>
    <i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Average of anomaly_precision" fld="11" subtotal="average" baseField="3" baseItem="4" numFmtId="168"/>
  </dataFields>
  <conditionalFormats count="1">
    <conditionalFormat priority="9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37A55-DCEA-4497-9C98-04A7F155B5A8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op_k" colHeaderCaption="train_samples">
  <location ref="G3:K11" firstHeaderRow="1" firstDataRow="2" firstDataCol="1"/>
  <pivotFields count="28">
    <pivotField showAll="0"/>
    <pivotField showAll="0"/>
    <pivotField axis="axisCol" showAll="0">
      <items count="4">
        <item x="2"/>
        <item x="0"/>
        <item x="1"/>
        <item t="default"/>
      </items>
    </pivotField>
    <pivotField axis="axisRow" showAll="0">
      <items count="7">
        <item x="0"/>
        <item x="1"/>
        <item x="2"/>
        <item x="3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Average of anomaly_recall" fld="12" subtotal="average" baseField="3" baseItem="2" numFmtId="170"/>
  </dataFields>
  <conditionalFormats count="1">
    <conditionalFormat priority="10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AF481-F6B2-44B9-ABE7-1E5876494C53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op_k" colHeaderCaption="train_samples">
  <location ref="A3:E11" firstHeaderRow="1" firstDataRow="2" firstDataCol="1"/>
  <pivotFields count="28">
    <pivotField showAll="0"/>
    <pivotField showAll="0"/>
    <pivotField axis="axisCol" showAll="0">
      <items count="4">
        <item x="2"/>
        <item x="0"/>
        <item x="1"/>
        <item t="default"/>
      </items>
    </pivotField>
    <pivotField axis="axisRow" showAll="0" sortType="descending">
      <items count="7">
        <item x="0"/>
        <item x="1"/>
        <item x="2"/>
        <item x="3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Average of anomaly_f1" fld="13" subtotal="average" baseField="3" baseItem="0" numFmtId="168"/>
  </dataFields>
  <conditionalFormats count="1">
    <conditionalFormat priority="1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A10ED1-5335-4550-BCB3-FAD27CBA3051}" name="PivotTable10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8" firstHeaderRow="0" firstDataRow="1" firstDataCol="1"/>
  <pivotFields count="28">
    <pivotField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ascending">
      <items count="7">
        <item x="0"/>
        <item x="1"/>
        <item x="2"/>
        <item x="3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50">
        <item x="48"/>
        <item x="46"/>
        <item x="47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4"/>
        <item x="25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</pivotFields>
  <rowFields count="2">
    <field x="3"/>
    <field x="2"/>
  </rowFields>
  <rowItems count="25">
    <i>
      <x/>
    </i>
    <i r="1">
      <x v="1"/>
    </i>
    <i r="1">
      <x/>
    </i>
    <i r="1">
      <x v="2"/>
    </i>
    <i>
      <x v="1"/>
    </i>
    <i r="1">
      <x v="2"/>
    </i>
    <i r="1">
      <x/>
    </i>
    <i r="1">
      <x v="1"/>
    </i>
    <i>
      <x v="2"/>
    </i>
    <i r="1">
      <x v="2"/>
    </i>
    <i r="1">
      <x v="1"/>
    </i>
    <i r="1">
      <x/>
    </i>
    <i>
      <x v="3"/>
    </i>
    <i r="1">
      <x v="1"/>
    </i>
    <i r="1">
      <x v="2"/>
    </i>
    <i r="1">
      <x/>
    </i>
    <i>
      <x v="4"/>
    </i>
    <i r="1">
      <x/>
    </i>
    <i r="1">
      <x v="2"/>
    </i>
    <i r="1">
      <x v="1"/>
    </i>
    <i>
      <x v="5"/>
    </i>
    <i r="1">
      <x/>
    </i>
    <i r="1">
      <x v="1"/>
    </i>
    <i r="1"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anomaly_f1" fld="13" subtotal="average" baseField="2" baseItem="0"/>
    <dataField name="Average of AUC_ROC" fld="26" subtotal="average" baseField="2" baseItem="0"/>
    <dataField name="StdDev of anomaly_f1" fld="13" subtotal="stdDev" baseField="2" baseItem="0"/>
    <dataField name="StdDev of AUC_ROC" fld="26" subtotal="stdDev" baseField="3" baseItem="0"/>
  </dataFields>
  <formats count="1">
    <format dxfId="0">
      <pivotArea outline="0" collapsedLevelsAreSubtotals="1" fieldPosition="0"/>
    </format>
  </formats>
  <conditionalFormats count="2">
    <conditionalFormat priority="6">
      <pivotAreas count="2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  <pivotArea type="data" outline="0" collapsedLevelsAreSubtotals="1" fieldPosition="0">
          <references count="1">
            <reference field="4294967294" count="2" selected="0">
              <x v="1"/>
              <x v="3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DCE150-F600-4C7B-996B-9506B7211AE2}" name="Table1" displayName="Table1" ref="A1:AB55" totalsRowShown="0">
  <autoFilter ref="A1:AB55" xr:uid="{B2DCE150-F600-4C7B-996B-9506B7211AE2}"/>
  <sortState xmlns:xlrd2="http://schemas.microsoft.com/office/spreadsheetml/2017/richdata2" ref="A2:AB55">
    <sortCondition ref="A1:A55"/>
  </sortState>
  <tableColumns count="28">
    <tableColumn id="1" xr3:uid="{6C449B6C-0CC8-4C5B-89D8-F3DCEF6AAEEB}" name="run_id"/>
    <tableColumn id="2" xr3:uid="{589916FD-D835-4535-8909-AB30E3BF705C}" name="dataset"/>
    <tableColumn id="3" xr3:uid="{DFC9602E-B77B-4DA2-A014-9DC926B6851E}" name="train_samples"/>
    <tableColumn id="4" xr3:uid="{C3E74E5A-9C22-4F9B-BE3D-D8686F3C4F22}" name="top_k"/>
    <tableColumn id="5" xr3:uid="{727211E9-AE86-44CE-BFE4-585BE251A91D}" name="seed"/>
    <tableColumn id="6" xr3:uid="{1FD5DD30-C182-406A-9992-96A19C77CB6E}" name="epochs"/>
    <tableColumn id="7" xr3:uid="{C40E0069-3F1F-4879-BB08-81672DC48289}" name="episodes"/>
    <tableColumn id="8" xr3:uid="{0617A9B9-A349-4BF5-A432-ABFD5DB496F4}" name="normal_precision"/>
    <tableColumn id="9" xr3:uid="{DD434E3D-0C9D-479D-8F0F-90521F9E7A98}" name="normal_recall"/>
    <tableColumn id="10" xr3:uid="{3847BF8E-8BB8-41DC-9FBA-1D68555E4FEE}" name="normal_f1"/>
    <tableColumn id="11" xr3:uid="{1EA4D87B-1B79-4CE9-B772-40C55D0B8EC2}" name="normal_support"/>
    <tableColumn id="12" xr3:uid="{FF79F5E0-AA54-4BFB-881C-B9C500E7A15D}" name="anomaly_precision"/>
    <tableColumn id="13" xr3:uid="{2A5AECB5-343D-4627-8DC4-8FAE4A6C8524}" name="anomaly_recall"/>
    <tableColumn id="14" xr3:uid="{A31D5644-09CE-46A5-BF4E-466A8ACF4F0C}" name="anomaly_f1"/>
    <tableColumn id="15" xr3:uid="{6C7E00EA-FBC2-4793-998C-7B8D41AEC80C}" name="anomaly_support"/>
    <tableColumn id="16" xr3:uid="{555A4BCE-F85D-4844-A18B-6B8BFC108560}" name="accuracy"/>
    <tableColumn id="17" xr3:uid="{F0E857B7-9C80-424E-AB53-18E106FC0B6F}" name="macro_precision"/>
    <tableColumn id="18" xr3:uid="{C3DE5B3D-5ED7-4232-952E-06AAEEB7BC74}" name="macro_recall"/>
    <tableColumn id="19" xr3:uid="{F79A8145-882B-4D2C-9A13-8840B06292C0}" name="macro_f1"/>
    <tableColumn id="20" xr3:uid="{524C1F46-7560-4B74-8450-96C418376649}" name="weighted_precision"/>
    <tableColumn id="21" xr3:uid="{7FB4D610-D5F1-4BEC-AF44-5ECD13C903FF}" name="weighted_recall"/>
    <tableColumn id="22" xr3:uid="{C3C71761-86FD-408C-941B-A57CAF88ABB0}" name="weighted_f1"/>
    <tableColumn id="23" xr3:uid="{3F09AE50-D2FC-4487-8819-59E265A9938F}" name="TN"/>
    <tableColumn id="24" xr3:uid="{E87AB9AE-5041-4A15-AB5B-D6B4B9842C13}" name="FP"/>
    <tableColumn id="25" xr3:uid="{D19C954E-7EA3-4B10-A19D-A38A92C06254}" name="FN"/>
    <tableColumn id="26" xr3:uid="{583CFC3D-66A3-475A-BA8F-698C38B8C91D}" name="TP"/>
    <tableColumn id="27" xr3:uid="{114EF584-9C86-4887-B79A-06AD90065686}" name="AUC_ROC"/>
    <tableColumn id="28" xr3:uid="{C4DC502A-2575-4197-A41C-8D4DE38DE654}" name="AUC_P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4C6A7-6A0B-424D-BF09-AFB549741D1C}">
  <dimension ref="A3:D20"/>
  <sheetViews>
    <sheetView workbookViewId="0">
      <selection activeCell="R7" sqref="R7"/>
    </sheetView>
  </sheetViews>
  <sheetFormatPr defaultRowHeight="15" x14ac:dyDescent="0.25"/>
  <cols>
    <col min="1" max="1" width="11.28515625" bestFit="1" customWidth="1"/>
    <col min="2" max="2" width="24.7109375" bestFit="1" customWidth="1"/>
    <col min="3" max="3" width="28.28515625" bestFit="1" customWidth="1"/>
    <col min="4" max="4" width="21.42578125" bestFit="1" customWidth="1"/>
    <col min="5" max="7" width="19" bestFit="1" customWidth="1"/>
  </cols>
  <sheetData>
    <row r="3" spans="1:4" x14ac:dyDescent="0.25">
      <c r="A3" s="2" t="s">
        <v>3</v>
      </c>
      <c r="B3" t="s">
        <v>32</v>
      </c>
      <c r="C3" t="s">
        <v>31</v>
      </c>
      <c r="D3" t="s">
        <v>33</v>
      </c>
    </row>
    <row r="4" spans="1:4" x14ac:dyDescent="0.25">
      <c r="A4" s="3">
        <v>1</v>
      </c>
      <c r="B4" s="1">
        <v>0.9968055555555555</v>
      </c>
      <c r="C4" s="1">
        <v>0.72824411470595019</v>
      </c>
      <c r="D4" s="1">
        <v>0.8386515424147819</v>
      </c>
    </row>
    <row r="5" spans="1:4" x14ac:dyDescent="0.25">
      <c r="A5" s="3">
        <v>3</v>
      </c>
      <c r="B5" s="1">
        <v>0.69305555555555565</v>
      </c>
      <c r="C5" s="1">
        <v>0.74724473150983095</v>
      </c>
      <c r="D5" s="1">
        <v>0.71769552541234793</v>
      </c>
    </row>
    <row r="6" spans="1:4" x14ac:dyDescent="0.25">
      <c r="A6" s="3">
        <v>5</v>
      </c>
      <c r="B6" s="1">
        <v>0.61333333333333317</v>
      </c>
      <c r="C6" s="1">
        <v>0.75350824262960792</v>
      </c>
      <c r="D6" s="1">
        <v>0.67374138273859396</v>
      </c>
    </row>
    <row r="7" spans="1:4" x14ac:dyDescent="0.25">
      <c r="A7" s="3">
        <v>7</v>
      </c>
      <c r="B7" s="1">
        <v>0.59847222222222218</v>
      </c>
      <c r="C7" s="1">
        <v>0.76534989692446731</v>
      </c>
      <c r="D7" s="1">
        <v>0.66967431047319748</v>
      </c>
    </row>
    <row r="8" spans="1:4" x14ac:dyDescent="0.25">
      <c r="A8" s="3">
        <v>13</v>
      </c>
      <c r="B8" s="1">
        <v>0.33236111111111116</v>
      </c>
      <c r="C8" s="1">
        <v>0.5632405200763857</v>
      </c>
      <c r="D8" s="1">
        <v>0.40724749475343991</v>
      </c>
    </row>
    <row r="9" spans="1:4" x14ac:dyDescent="0.25">
      <c r="A9" s="3">
        <v>20</v>
      </c>
      <c r="B9" s="1">
        <v>0.23055555555555562</v>
      </c>
      <c r="C9" s="1">
        <v>0.45078032597493617</v>
      </c>
      <c r="D9" s="1">
        <v>0.29128418277151547</v>
      </c>
    </row>
    <row r="10" spans="1:4" x14ac:dyDescent="0.25">
      <c r="A10" s="3" t="s">
        <v>30</v>
      </c>
      <c r="B10" s="1">
        <v>0.57743055555555511</v>
      </c>
      <c r="C10" s="1">
        <v>0.6680613053035297</v>
      </c>
      <c r="D10" s="1">
        <v>0.59971573976064585</v>
      </c>
    </row>
    <row r="17" spans="2:3" x14ac:dyDescent="0.25">
      <c r="B17" t="s">
        <v>39</v>
      </c>
      <c r="C17" s="5" t="s">
        <v>41</v>
      </c>
    </row>
    <row r="18" spans="2:3" x14ac:dyDescent="0.25">
      <c r="B18" t="s">
        <v>40</v>
      </c>
      <c r="C18" s="5" t="s">
        <v>42</v>
      </c>
    </row>
    <row r="19" spans="2:3" x14ac:dyDescent="0.25">
      <c r="B19" t="s">
        <v>44</v>
      </c>
      <c r="C19" s="5" t="s">
        <v>45</v>
      </c>
    </row>
    <row r="20" spans="2:3" x14ac:dyDescent="0.25">
      <c r="B20" t="s">
        <v>47</v>
      </c>
    </row>
  </sheetData>
  <conditionalFormatting pivot="1" sqref="B4:D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252A5-7ED1-4935-B867-8065CD7836FE}">
  <dimension ref="A3:E7"/>
  <sheetViews>
    <sheetView workbookViewId="0">
      <selection activeCell="E15" sqref="E15"/>
    </sheetView>
  </sheetViews>
  <sheetFormatPr defaultRowHeight="15" x14ac:dyDescent="0.25"/>
  <cols>
    <col min="1" max="1" width="16" bestFit="1" customWidth="1"/>
    <col min="2" max="2" width="19" bestFit="1" customWidth="1"/>
    <col min="3" max="3" width="28.28515625" bestFit="1" customWidth="1"/>
    <col min="4" max="4" width="24.7109375" bestFit="1" customWidth="1"/>
    <col min="5" max="5" width="21.42578125" bestFit="1" customWidth="1"/>
    <col min="6" max="7" width="18.28515625" bestFit="1" customWidth="1"/>
  </cols>
  <sheetData>
    <row r="3" spans="1:5" x14ac:dyDescent="0.25">
      <c r="A3" s="2" t="s">
        <v>2</v>
      </c>
      <c r="B3" t="s">
        <v>34</v>
      </c>
      <c r="C3" t="s">
        <v>31</v>
      </c>
      <c r="D3" t="s">
        <v>32</v>
      </c>
      <c r="E3" t="s">
        <v>33</v>
      </c>
    </row>
    <row r="4" spans="1:5" x14ac:dyDescent="0.25">
      <c r="A4" s="3">
        <v>100</v>
      </c>
      <c r="B4" s="1">
        <v>0.67343749999999991</v>
      </c>
      <c r="C4" s="1">
        <v>0.69194965739468961</v>
      </c>
      <c r="D4" s="1">
        <v>0.57493055555555572</v>
      </c>
      <c r="E4" s="1">
        <v>0.60777959106188584</v>
      </c>
    </row>
    <row r="5" spans="1:5" x14ac:dyDescent="0.25">
      <c r="A5" s="3">
        <v>300</v>
      </c>
      <c r="B5" s="1">
        <v>0.68597222222222221</v>
      </c>
      <c r="C5" s="1">
        <v>0.64766142640486601</v>
      </c>
      <c r="D5" s="1">
        <v>0.56930555555555551</v>
      </c>
      <c r="E5" s="1">
        <v>0.58862966026356889</v>
      </c>
    </row>
    <row r="6" spans="1:5" x14ac:dyDescent="0.25">
      <c r="A6" s="3">
        <v>500</v>
      </c>
      <c r="B6" s="1">
        <v>0.68395833333333322</v>
      </c>
      <c r="C6" s="1">
        <v>0.66457283211103335</v>
      </c>
      <c r="D6" s="1">
        <v>0.58805555555555555</v>
      </c>
      <c r="E6" s="1">
        <v>0.60273796795648371</v>
      </c>
    </row>
    <row r="7" spans="1:5" x14ac:dyDescent="0.25">
      <c r="A7" s="3" t="s">
        <v>30</v>
      </c>
      <c r="B7" s="1">
        <v>0.68112268518518515</v>
      </c>
      <c r="C7" s="1">
        <v>0.66806130530352947</v>
      </c>
      <c r="D7" s="1">
        <v>0.57743055555555534</v>
      </c>
      <c r="E7" s="1">
        <v>0.59971573976064618</v>
      </c>
    </row>
  </sheetData>
  <conditionalFormatting pivot="1" sqref="B4:E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432BA-0A72-42F6-8646-72ED27C38B00}">
  <dimension ref="A3:O37"/>
  <sheetViews>
    <sheetView tabSelected="1" zoomScaleNormal="100" workbookViewId="0">
      <selection activeCell="H43" sqref="H43"/>
    </sheetView>
  </sheetViews>
  <sheetFormatPr defaultRowHeight="15" x14ac:dyDescent="0.25"/>
  <cols>
    <col min="1" max="1" width="28.28515625" bestFit="1" customWidth="1"/>
    <col min="2" max="2" width="16" bestFit="1" customWidth="1"/>
    <col min="3" max="4" width="5.5703125" bestFit="1" customWidth="1"/>
    <col min="5" max="5" width="11.28515625" bestFit="1" customWidth="1"/>
    <col min="7" max="7" width="24.7109375" bestFit="1" customWidth="1"/>
    <col min="8" max="8" width="16" bestFit="1" customWidth="1"/>
    <col min="9" max="10" width="5.5703125" bestFit="1" customWidth="1"/>
    <col min="11" max="11" width="11.28515625" bestFit="1" customWidth="1"/>
    <col min="14" max="14" width="31.42578125" bestFit="1" customWidth="1"/>
    <col min="15" max="15" width="15.28515625" bestFit="1" customWidth="1"/>
  </cols>
  <sheetData>
    <row r="3" spans="1:15" x14ac:dyDescent="0.25">
      <c r="A3" s="2" t="s">
        <v>33</v>
      </c>
      <c r="B3" s="2" t="s">
        <v>2</v>
      </c>
      <c r="G3" s="2" t="s">
        <v>32</v>
      </c>
      <c r="H3" s="2" t="s">
        <v>2</v>
      </c>
    </row>
    <row r="4" spans="1:15" x14ac:dyDescent="0.25">
      <c r="A4" s="2" t="s">
        <v>3</v>
      </c>
      <c r="B4">
        <v>100</v>
      </c>
      <c r="C4">
        <v>300</v>
      </c>
      <c r="D4">
        <v>500</v>
      </c>
      <c r="E4" t="s">
        <v>30</v>
      </c>
      <c r="G4" s="2" t="s">
        <v>3</v>
      </c>
      <c r="H4">
        <v>100</v>
      </c>
      <c r="I4">
        <v>300</v>
      </c>
      <c r="J4">
        <v>500</v>
      </c>
      <c r="K4" t="s">
        <v>30</v>
      </c>
    </row>
    <row r="5" spans="1:15" x14ac:dyDescent="0.25">
      <c r="A5" s="3">
        <v>1</v>
      </c>
      <c r="B5" s="6">
        <v>0.85824145520763029</v>
      </c>
      <c r="C5" s="6">
        <v>0.86045495194104171</v>
      </c>
      <c r="D5" s="6">
        <v>0.7972582200956736</v>
      </c>
      <c r="E5" s="6">
        <v>0.8386515424147819</v>
      </c>
      <c r="G5" s="3">
        <v>1</v>
      </c>
      <c r="H5" s="7">
        <v>1</v>
      </c>
      <c r="I5" s="7">
        <v>0.99041666666666661</v>
      </c>
      <c r="J5" s="7">
        <v>1</v>
      </c>
      <c r="K5" s="7">
        <v>0.9968055555555555</v>
      </c>
    </row>
    <row r="6" spans="1:15" x14ac:dyDescent="0.25">
      <c r="A6" s="3">
        <v>3</v>
      </c>
      <c r="B6" s="6">
        <v>0.71366154514626701</v>
      </c>
      <c r="C6" s="6">
        <v>0.710399640431984</v>
      </c>
      <c r="D6" s="6">
        <v>0.72902539065879279</v>
      </c>
      <c r="E6" s="6">
        <v>0.71769552541234793</v>
      </c>
      <c r="G6" s="3">
        <v>3</v>
      </c>
      <c r="H6" s="7">
        <v>0.69666666666666666</v>
      </c>
      <c r="I6" s="7">
        <v>0.68583333333333341</v>
      </c>
      <c r="J6" s="7">
        <v>0.69666666666666666</v>
      </c>
      <c r="K6" s="7">
        <v>0.69305555555555554</v>
      </c>
    </row>
    <row r="7" spans="1:15" x14ac:dyDescent="0.25">
      <c r="A7" s="3">
        <v>5</v>
      </c>
      <c r="B7" s="6">
        <v>0.61019654063838269</v>
      </c>
      <c r="C7" s="6">
        <v>0.69880466443914457</v>
      </c>
      <c r="D7" s="6">
        <v>0.71222294313825463</v>
      </c>
      <c r="E7" s="6">
        <v>0.67374138273859407</v>
      </c>
      <c r="G7" s="3">
        <v>5</v>
      </c>
      <c r="H7" s="7">
        <v>0.54583333333333328</v>
      </c>
      <c r="I7" s="7">
        <v>0.64374999999999993</v>
      </c>
      <c r="J7" s="7">
        <v>0.65041666666666664</v>
      </c>
      <c r="K7" s="7">
        <v>0.61333333333333329</v>
      </c>
    </row>
    <row r="8" spans="1:15" x14ac:dyDescent="0.25">
      <c r="A8" s="3">
        <v>7</v>
      </c>
      <c r="B8" s="6">
        <v>0.61244657124709234</v>
      </c>
      <c r="C8" s="6">
        <v>0.70064609607172901</v>
      </c>
      <c r="D8" s="6">
        <v>0.6959302641007713</v>
      </c>
      <c r="E8" s="6">
        <v>0.66967431047319759</v>
      </c>
      <c r="G8" s="3">
        <v>7</v>
      </c>
      <c r="H8" s="7">
        <v>0.54583333333333328</v>
      </c>
      <c r="I8" s="7">
        <v>0.63208333333333333</v>
      </c>
      <c r="J8" s="7">
        <v>0.61750000000000005</v>
      </c>
      <c r="K8" s="7">
        <v>0.59847222222222218</v>
      </c>
    </row>
    <row r="9" spans="1:15" x14ac:dyDescent="0.25">
      <c r="A9" s="3">
        <v>13</v>
      </c>
      <c r="B9" s="6">
        <v>0.49504549150654736</v>
      </c>
      <c r="C9" s="6">
        <v>0.30208279403190919</v>
      </c>
      <c r="D9" s="6">
        <v>0.42461419872186307</v>
      </c>
      <c r="E9" s="6">
        <v>0.40724749475343985</v>
      </c>
      <c r="G9" s="3">
        <v>13</v>
      </c>
      <c r="H9" s="7">
        <v>0.40375</v>
      </c>
      <c r="I9" s="7">
        <v>0.24625</v>
      </c>
      <c r="J9" s="7">
        <v>0.34708333333333335</v>
      </c>
      <c r="K9" s="7">
        <v>0.33236111111111111</v>
      </c>
    </row>
    <row r="10" spans="1:15" x14ac:dyDescent="0.25">
      <c r="A10" s="3">
        <v>20</v>
      </c>
      <c r="B10" s="6">
        <v>0.35708594262539473</v>
      </c>
      <c r="C10" s="6">
        <v>0.25938981466560468</v>
      </c>
      <c r="D10" s="6">
        <v>0.25737679102354699</v>
      </c>
      <c r="E10" s="6">
        <v>0.29128418277151552</v>
      </c>
      <c r="G10" s="3">
        <v>20</v>
      </c>
      <c r="H10" s="7">
        <v>0.25750000000000001</v>
      </c>
      <c r="I10" s="7">
        <v>0.2175</v>
      </c>
      <c r="J10" s="7">
        <v>0.21666666666666665</v>
      </c>
      <c r="K10" s="7">
        <v>0.23055555555555557</v>
      </c>
      <c r="N10" t="s">
        <v>39</v>
      </c>
      <c r="O10" s="5" t="s">
        <v>41</v>
      </c>
    </row>
    <row r="11" spans="1:15" x14ac:dyDescent="0.25">
      <c r="A11" s="3" t="s">
        <v>30</v>
      </c>
      <c r="B11" s="6">
        <v>0.60777959106188584</v>
      </c>
      <c r="C11" s="6">
        <v>0.588629660263569</v>
      </c>
      <c r="D11" s="6">
        <v>0.60273796795648371</v>
      </c>
      <c r="E11" s="6">
        <v>0.59971573976064618</v>
      </c>
      <c r="G11" s="3" t="s">
        <v>30</v>
      </c>
      <c r="H11" s="7">
        <v>0.57493055555555561</v>
      </c>
      <c r="I11" s="7">
        <v>0.56930555555555562</v>
      </c>
      <c r="J11" s="7">
        <v>0.58805555555555555</v>
      </c>
      <c r="K11" s="7">
        <v>0.57743055555555556</v>
      </c>
      <c r="N11" t="s">
        <v>53</v>
      </c>
      <c r="O11" s="5" t="s">
        <v>54</v>
      </c>
    </row>
    <row r="12" spans="1:15" x14ac:dyDescent="0.25">
      <c r="A12" s="5" t="s">
        <v>48</v>
      </c>
      <c r="B12" s="6">
        <v>0.8386515424147819</v>
      </c>
      <c r="G12" s="5" t="s">
        <v>49</v>
      </c>
      <c r="H12" s="7">
        <v>0.9968055555555555</v>
      </c>
    </row>
    <row r="13" spans="1:15" x14ac:dyDescent="0.25">
      <c r="A13" s="5" t="s">
        <v>52</v>
      </c>
      <c r="B13" s="6">
        <v>0.29128418277151552</v>
      </c>
    </row>
    <row r="14" spans="1:15" x14ac:dyDescent="0.25">
      <c r="N14" t="s">
        <v>40</v>
      </c>
      <c r="O14" s="5" t="s">
        <v>42</v>
      </c>
    </row>
    <row r="15" spans="1:15" x14ac:dyDescent="0.25">
      <c r="N15" t="s">
        <v>55</v>
      </c>
      <c r="O15" s="5" t="s">
        <v>57</v>
      </c>
    </row>
    <row r="16" spans="1:15" x14ac:dyDescent="0.25">
      <c r="A16" s="2" t="s">
        <v>31</v>
      </c>
      <c r="B16" s="2" t="s">
        <v>2</v>
      </c>
      <c r="G16" s="2" t="s">
        <v>34</v>
      </c>
      <c r="H16" s="2" t="s">
        <v>2</v>
      </c>
    </row>
    <row r="17" spans="1:15" x14ac:dyDescent="0.25">
      <c r="A17" s="2" t="s">
        <v>3</v>
      </c>
      <c r="B17">
        <v>100</v>
      </c>
      <c r="C17">
        <v>300</v>
      </c>
      <c r="D17">
        <v>500</v>
      </c>
      <c r="E17" t="s">
        <v>30</v>
      </c>
      <c r="G17" s="2" t="s">
        <v>3</v>
      </c>
      <c r="H17">
        <v>100</v>
      </c>
      <c r="I17">
        <v>300</v>
      </c>
      <c r="J17">
        <v>500</v>
      </c>
      <c r="K17" t="s">
        <v>30</v>
      </c>
    </row>
    <row r="18" spans="1:15" x14ac:dyDescent="0.25">
      <c r="A18" s="3">
        <v>7</v>
      </c>
      <c r="B18" s="6">
        <v>0.71187924275239489</v>
      </c>
      <c r="C18" s="6">
        <v>0.78680089266305897</v>
      </c>
      <c r="D18" s="6">
        <v>0.79736955535794796</v>
      </c>
      <c r="E18" s="6">
        <v>0.76534989692446731</v>
      </c>
      <c r="G18" s="3">
        <v>1</v>
      </c>
      <c r="H18" s="6">
        <v>0.83479166666666671</v>
      </c>
      <c r="I18" s="6">
        <v>0.83937499999999998</v>
      </c>
      <c r="J18" s="6">
        <v>0.7270833333333333</v>
      </c>
      <c r="K18" s="6">
        <v>0.80041666666666667</v>
      </c>
      <c r="N18" t="s">
        <v>44</v>
      </c>
      <c r="O18" s="5" t="s">
        <v>45</v>
      </c>
    </row>
    <row r="19" spans="1:15" x14ac:dyDescent="0.25">
      <c r="A19" s="3">
        <v>5</v>
      </c>
      <c r="B19" s="6">
        <v>0.7066955261977329</v>
      </c>
      <c r="C19" s="6">
        <v>0.76592648455393542</v>
      </c>
      <c r="D19" s="6">
        <v>0.78790271713715532</v>
      </c>
      <c r="E19" s="6">
        <v>0.75350824262960792</v>
      </c>
      <c r="G19" s="3">
        <v>3</v>
      </c>
      <c r="H19" s="6">
        <v>0.72124999999999995</v>
      </c>
      <c r="I19" s="6">
        <v>0.72187499999999993</v>
      </c>
      <c r="J19" s="6">
        <v>0.74250000000000005</v>
      </c>
      <c r="K19" s="6">
        <v>0.72854166666666687</v>
      </c>
      <c r="N19" t="s">
        <v>56</v>
      </c>
      <c r="O19" s="5" t="s">
        <v>58</v>
      </c>
    </row>
    <row r="20" spans="1:15" x14ac:dyDescent="0.25">
      <c r="A20" s="3">
        <v>3</v>
      </c>
      <c r="B20" s="6">
        <v>0.73247013691966467</v>
      </c>
      <c r="C20" s="6">
        <v>0.74087736010434935</v>
      </c>
      <c r="D20" s="6">
        <v>0.76838669750547905</v>
      </c>
      <c r="E20" s="6">
        <v>0.74724473150983106</v>
      </c>
      <c r="G20" s="3">
        <v>7</v>
      </c>
      <c r="H20" s="6">
        <v>0.671875</v>
      </c>
      <c r="I20" s="6">
        <v>0.73</v>
      </c>
      <c r="J20" s="6">
        <v>0.73020833333333324</v>
      </c>
      <c r="K20" s="6">
        <v>0.71069444444444452</v>
      </c>
    </row>
    <row r="21" spans="1:15" x14ac:dyDescent="0.25">
      <c r="A21" s="3">
        <v>1</v>
      </c>
      <c r="B21" s="6">
        <v>0.75171382422429733</v>
      </c>
      <c r="C21" s="6">
        <v>0.76078583493066798</v>
      </c>
      <c r="D21" s="6">
        <v>0.67223268496288513</v>
      </c>
      <c r="E21" s="6">
        <v>0.72824411470595019</v>
      </c>
      <c r="G21" s="3">
        <v>5</v>
      </c>
      <c r="H21" s="6">
        <v>0.66895833333333332</v>
      </c>
      <c r="I21" s="6">
        <v>0.72312500000000002</v>
      </c>
      <c r="J21" s="6">
        <v>0.73791666666666667</v>
      </c>
      <c r="K21" s="6">
        <v>0.71000000000000008</v>
      </c>
    </row>
    <row r="22" spans="1:15" x14ac:dyDescent="0.25">
      <c r="A22" s="3">
        <v>13</v>
      </c>
      <c r="B22" s="6">
        <v>0.65649515231191413</v>
      </c>
      <c r="C22" s="6">
        <v>0.45307592402769831</v>
      </c>
      <c r="D22" s="6">
        <v>0.58015048388954471</v>
      </c>
      <c r="E22" s="6">
        <v>0.56324052007638559</v>
      </c>
      <c r="G22" s="3">
        <v>13</v>
      </c>
      <c r="H22" s="6">
        <v>0.60395833333333337</v>
      </c>
      <c r="I22" s="6">
        <v>0.551875</v>
      </c>
      <c r="J22" s="6">
        <v>0.61354166666666665</v>
      </c>
      <c r="K22" s="6">
        <v>0.58979166666666671</v>
      </c>
    </row>
    <row r="23" spans="1:15" x14ac:dyDescent="0.25">
      <c r="A23" s="3">
        <v>20</v>
      </c>
      <c r="B23" s="6">
        <v>0.59244406196213362</v>
      </c>
      <c r="C23" s="6">
        <v>0.37850206214948701</v>
      </c>
      <c r="D23" s="6">
        <v>0.381394853813188</v>
      </c>
      <c r="E23" s="6">
        <v>0.45078032597493617</v>
      </c>
      <c r="G23" s="3">
        <v>20</v>
      </c>
      <c r="H23" s="6">
        <v>0.53979166666666667</v>
      </c>
      <c r="I23" s="6">
        <v>0.54958333333333342</v>
      </c>
      <c r="J23" s="6">
        <v>0.55249999999999999</v>
      </c>
      <c r="K23" s="6">
        <v>0.54729166666666673</v>
      </c>
    </row>
    <row r="24" spans="1:15" x14ac:dyDescent="0.25">
      <c r="A24" s="3" t="s">
        <v>30</v>
      </c>
      <c r="B24" s="6">
        <v>0.6919496573946895</v>
      </c>
      <c r="C24" s="6">
        <v>0.64766142640486601</v>
      </c>
      <c r="D24" s="6">
        <v>0.66457283211103335</v>
      </c>
      <c r="E24" s="6">
        <v>0.6680613053035297</v>
      </c>
      <c r="G24" s="3" t="s">
        <v>30</v>
      </c>
      <c r="H24" s="6">
        <v>0.67343749999999991</v>
      </c>
      <c r="I24" s="6">
        <v>0.68597222222222209</v>
      </c>
      <c r="J24" s="6">
        <v>0.68395833333333333</v>
      </c>
      <c r="K24" s="6">
        <v>0.68112268518518515</v>
      </c>
    </row>
    <row r="25" spans="1:15" x14ac:dyDescent="0.25">
      <c r="A25" s="5" t="s">
        <v>43</v>
      </c>
      <c r="B25" s="6">
        <f>GETPIVOTDATA("anomaly_precision",$A$16,"top_k",7)</f>
        <v>0.76534989692446731</v>
      </c>
    </row>
    <row r="29" spans="1:15" x14ac:dyDescent="0.25">
      <c r="A29" s="2" t="s">
        <v>36</v>
      </c>
      <c r="B29" s="2" t="s">
        <v>2</v>
      </c>
      <c r="G29" s="2" t="s">
        <v>35</v>
      </c>
      <c r="H29" s="2" t="s">
        <v>2</v>
      </c>
    </row>
    <row r="30" spans="1:15" x14ac:dyDescent="0.25">
      <c r="A30" s="2" t="s">
        <v>3</v>
      </c>
      <c r="B30">
        <v>100</v>
      </c>
      <c r="C30">
        <v>300</v>
      </c>
      <c r="D30">
        <v>500</v>
      </c>
      <c r="E30" t="s">
        <v>30</v>
      </c>
      <c r="G30" s="2" t="s">
        <v>3</v>
      </c>
      <c r="H30">
        <v>100</v>
      </c>
      <c r="I30">
        <v>300</v>
      </c>
      <c r="J30">
        <v>500</v>
      </c>
      <c r="K30" t="s">
        <v>30</v>
      </c>
    </row>
    <row r="31" spans="1:15" x14ac:dyDescent="0.25">
      <c r="A31" s="3">
        <v>1</v>
      </c>
      <c r="B31" s="6">
        <v>0.83479166666666671</v>
      </c>
      <c r="C31" s="6">
        <v>0.83937499999999965</v>
      </c>
      <c r="D31" s="6">
        <v>0.7270833333333333</v>
      </c>
      <c r="E31" s="6">
        <v>0.80041666666666655</v>
      </c>
      <c r="G31" s="3">
        <v>1</v>
      </c>
      <c r="H31" s="6">
        <v>0.75171382422429733</v>
      </c>
      <c r="I31" s="6">
        <v>0.758248515376862</v>
      </c>
      <c r="J31" s="6">
        <v>0.67223268496288513</v>
      </c>
      <c r="K31" s="6">
        <v>0.72739834152134819</v>
      </c>
    </row>
    <row r="32" spans="1:15" x14ac:dyDescent="0.25">
      <c r="A32" s="3">
        <v>3</v>
      </c>
      <c r="B32" s="6">
        <v>0.72124999999999995</v>
      </c>
      <c r="C32" s="6">
        <v>0.72187499999999938</v>
      </c>
      <c r="D32" s="6">
        <v>0.74250000000000005</v>
      </c>
      <c r="E32" s="6">
        <v>0.72854166666666653</v>
      </c>
      <c r="G32" s="3">
        <v>3</v>
      </c>
      <c r="H32" s="6">
        <v>0.66212563211596898</v>
      </c>
      <c r="I32" s="6">
        <v>0.66425542098466239</v>
      </c>
      <c r="J32" s="6">
        <v>0.68661409936289741</v>
      </c>
      <c r="K32" s="6">
        <v>0.67099838415450952</v>
      </c>
    </row>
    <row r="33" spans="1:11" x14ac:dyDescent="0.25">
      <c r="A33" s="3">
        <v>7</v>
      </c>
      <c r="B33" s="6">
        <v>0.671875</v>
      </c>
      <c r="C33" s="6">
        <v>0.73</v>
      </c>
      <c r="D33" s="6">
        <v>0.73020833333333324</v>
      </c>
      <c r="E33" s="6">
        <v>0.71069444444444452</v>
      </c>
      <c r="G33" s="3">
        <v>7</v>
      </c>
      <c r="H33" s="6">
        <v>0.63097986049051802</v>
      </c>
      <c r="I33" s="6">
        <v>0.68180653491054921</v>
      </c>
      <c r="J33" s="6">
        <v>0.68359340446097006</v>
      </c>
      <c r="K33" s="6">
        <v>0.66545993328734587</v>
      </c>
    </row>
    <row r="34" spans="1:11" x14ac:dyDescent="0.25">
      <c r="A34" s="3">
        <v>5</v>
      </c>
      <c r="B34" s="6">
        <v>0.66895833333333332</v>
      </c>
      <c r="C34" s="6">
        <v>0.72312499999999957</v>
      </c>
      <c r="D34" s="6">
        <v>0.73791666666666667</v>
      </c>
      <c r="E34" s="6">
        <v>0.71</v>
      </c>
      <c r="G34" s="3">
        <v>5</v>
      </c>
      <c r="H34" s="6">
        <v>0.62747084325837466</v>
      </c>
      <c r="I34" s="6">
        <v>0.67190985489637434</v>
      </c>
      <c r="J34" s="6">
        <v>0.68794728778508263</v>
      </c>
      <c r="K34" s="6">
        <v>0.66244266197994384</v>
      </c>
    </row>
    <row r="35" spans="1:11" x14ac:dyDescent="0.25">
      <c r="A35" s="3">
        <v>13</v>
      </c>
      <c r="B35" s="6">
        <v>0.60395833333333282</v>
      </c>
      <c r="C35" s="6">
        <v>0.55187499999999967</v>
      </c>
      <c r="D35" s="6">
        <v>0.61354166666666665</v>
      </c>
      <c r="E35" s="6">
        <v>0.58979166666666627</v>
      </c>
      <c r="G35" s="3">
        <v>13</v>
      </c>
      <c r="H35" s="6">
        <v>0.57473456779109866</v>
      </c>
      <c r="I35" s="6">
        <v>0.55932179450984132</v>
      </c>
      <c r="J35" s="6">
        <v>0.60324164811734371</v>
      </c>
      <c r="K35" s="6">
        <v>0.5790993368060946</v>
      </c>
    </row>
    <row r="36" spans="1:11" x14ac:dyDescent="0.25">
      <c r="A36" s="3">
        <v>20</v>
      </c>
      <c r="B36" s="6">
        <v>0.53979166666666634</v>
      </c>
      <c r="C36" s="6">
        <v>0.54958333333333342</v>
      </c>
      <c r="D36" s="6">
        <v>0.55249999999999999</v>
      </c>
      <c r="E36" s="6">
        <v>0.54729166666666662</v>
      </c>
      <c r="G36" s="3">
        <v>20</v>
      </c>
      <c r="H36" s="6">
        <v>0.52361706827309196</v>
      </c>
      <c r="I36" s="6">
        <v>0.56334782579253162</v>
      </c>
      <c r="J36" s="6">
        <v>0.56232560067507131</v>
      </c>
      <c r="K36" s="6">
        <v>0.54976349824689841</v>
      </c>
    </row>
    <row r="37" spans="1:11" x14ac:dyDescent="0.25">
      <c r="A37" s="3" t="s">
        <v>30</v>
      </c>
      <c r="B37" s="6">
        <v>0.67343749999999991</v>
      </c>
      <c r="C37" s="6">
        <v>0.68597222222222198</v>
      </c>
      <c r="D37" s="6">
        <v>0.68395833333333333</v>
      </c>
      <c r="E37" s="6">
        <v>0.68112268518518504</v>
      </c>
      <c r="G37" s="3" t="s">
        <v>30</v>
      </c>
      <c r="H37" s="6">
        <v>0.62844029935889156</v>
      </c>
      <c r="I37" s="6">
        <v>0.64981499107847007</v>
      </c>
      <c r="J37" s="6">
        <v>0.64932578756070847</v>
      </c>
      <c r="K37" s="6">
        <v>0.64252702599935674</v>
      </c>
    </row>
  </sheetData>
  <phoneticPr fontId="18" type="noConversion"/>
  <conditionalFormatting pivot="1" sqref="B5:E1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H5:K1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18:E2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H18:K2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31:E3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H31:K3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2:B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7E23B-F786-4511-A1F1-C7A6B38F1D3E}">
  <dimension ref="A3:I34"/>
  <sheetViews>
    <sheetView workbookViewId="0">
      <selection activeCell="B32" sqref="B32:D33"/>
    </sheetView>
  </sheetViews>
  <sheetFormatPr defaultRowHeight="15" x14ac:dyDescent="0.25"/>
  <cols>
    <col min="1" max="1" width="13.42578125" bestFit="1" customWidth="1"/>
    <col min="2" max="2" width="21.42578125" bestFit="1" customWidth="1"/>
    <col min="3" max="3" width="20" bestFit="1" customWidth="1"/>
    <col min="4" max="4" width="27.5703125" bestFit="1" customWidth="1"/>
    <col min="5" max="5" width="19.42578125" bestFit="1" customWidth="1"/>
    <col min="6" max="6" width="14.140625" bestFit="1" customWidth="1"/>
  </cols>
  <sheetData>
    <row r="3" spans="1:6" x14ac:dyDescent="0.25">
      <c r="A3" s="2" t="s">
        <v>29</v>
      </c>
      <c r="B3" t="s">
        <v>33</v>
      </c>
      <c r="C3" t="s">
        <v>36</v>
      </c>
      <c r="D3" t="s">
        <v>37</v>
      </c>
      <c r="E3" t="s">
        <v>38</v>
      </c>
      <c r="F3" s="8" t="s">
        <v>50</v>
      </c>
    </row>
    <row r="4" spans="1:6" x14ac:dyDescent="0.25">
      <c r="A4" s="3">
        <v>1</v>
      </c>
      <c r="B4" s="6">
        <v>0.8386515424147819</v>
      </c>
      <c r="C4" s="6">
        <v>0.80041666666666655</v>
      </c>
      <c r="D4" s="6">
        <v>6.4735266232288258E-2</v>
      </c>
      <c r="E4" s="6">
        <v>0.11288605635219061</v>
      </c>
      <c r="F4" s="10">
        <f>(0.7*B4 + 0.3*C4) - (0.7*D4 - 0.3*E4)</f>
        <v>0.8157322102334027</v>
      </c>
    </row>
    <row r="5" spans="1:6" x14ac:dyDescent="0.25">
      <c r="A5" s="4">
        <v>300</v>
      </c>
      <c r="B5" s="6">
        <v>0.86045495194104171</v>
      </c>
      <c r="C5" s="6">
        <v>0.83937499999999965</v>
      </c>
      <c r="D5" s="6">
        <v>7.8916166331728984E-3</v>
      </c>
      <c r="E5" s="6">
        <v>9.4579662190237279E-3</v>
      </c>
      <c r="F5" s="11">
        <f>(0.7*B5 + 0.3*C5) - (0.7*D5 - 0.3*E5)</f>
        <v>0.85144422458121516</v>
      </c>
    </row>
    <row r="6" spans="1:6" x14ac:dyDescent="0.25">
      <c r="A6" s="4">
        <v>100</v>
      </c>
      <c r="B6" s="6">
        <v>0.85824145520763029</v>
      </c>
      <c r="C6" s="6">
        <v>0.83479166666666671</v>
      </c>
      <c r="D6" s="6">
        <v>5.776824128783436E-3</v>
      </c>
      <c r="E6" s="6">
        <v>7.8145830556243471E-3</v>
      </c>
      <c r="F6" s="11">
        <f t="shared" ref="F6:F28" si="0">(0.7*B6 + 0.3*C6) - (0.7*D6 - 0.3*E6)</f>
        <v>0.84950711667188006</v>
      </c>
    </row>
    <row r="7" spans="1:6" x14ac:dyDescent="0.25">
      <c r="A7" s="4">
        <v>500</v>
      </c>
      <c r="B7" s="6">
        <v>0.7972582200956736</v>
      </c>
      <c r="C7" s="6">
        <v>0.7270833333333333</v>
      </c>
      <c r="D7" s="6">
        <v>0.11317300359334546</v>
      </c>
      <c r="E7" s="6">
        <v>0.19674036401647044</v>
      </c>
      <c r="F7" s="11">
        <f t="shared" si="0"/>
        <v>0.75600676075657081</v>
      </c>
    </row>
    <row r="8" spans="1:6" x14ac:dyDescent="0.25">
      <c r="A8" s="3">
        <v>3</v>
      </c>
      <c r="B8" s="6">
        <v>0.71769552541234793</v>
      </c>
      <c r="C8" s="6">
        <v>0.72854166666666653</v>
      </c>
      <c r="D8" s="6">
        <v>2.9060186208740745E-2</v>
      </c>
      <c r="E8" s="6">
        <v>2.0179855363698901E-2</v>
      </c>
      <c r="F8" s="12">
        <f t="shared" si="0"/>
        <v>0.70666119405163463</v>
      </c>
    </row>
    <row r="9" spans="1:6" x14ac:dyDescent="0.25">
      <c r="A9" s="4">
        <v>500</v>
      </c>
      <c r="B9" s="6">
        <v>0.72902539065879279</v>
      </c>
      <c r="C9" s="6">
        <v>0.74250000000000005</v>
      </c>
      <c r="D9" s="6">
        <v>3.9457040625052377E-2</v>
      </c>
      <c r="E9" s="6">
        <v>2.7648745450740475E-2</v>
      </c>
      <c r="F9" s="11">
        <f t="shared" si="0"/>
        <v>0.71374246865884039</v>
      </c>
    </row>
    <row r="10" spans="1:6" x14ac:dyDescent="0.25">
      <c r="A10" s="4">
        <v>100</v>
      </c>
      <c r="B10" s="6">
        <v>0.71366154514626701</v>
      </c>
      <c r="C10" s="6">
        <v>0.72124999999999995</v>
      </c>
      <c r="D10" s="6">
        <v>2.8041144475631687E-2</v>
      </c>
      <c r="E10" s="6">
        <v>1.8635064394849934E-2</v>
      </c>
      <c r="F10" s="11">
        <f t="shared" si="0"/>
        <v>0.70189979978789963</v>
      </c>
    </row>
    <row r="11" spans="1:6" x14ac:dyDescent="0.25">
      <c r="A11" s="4">
        <v>300</v>
      </c>
      <c r="B11" s="6">
        <v>0.710399640431984</v>
      </c>
      <c r="C11" s="6">
        <v>0.72187499999999938</v>
      </c>
      <c r="D11" s="6">
        <v>2.7166351984611026E-2</v>
      </c>
      <c r="E11" s="6">
        <v>8.8609042992203631E-3</v>
      </c>
      <c r="F11" s="11">
        <f t="shared" si="0"/>
        <v>0.69748407320292694</v>
      </c>
    </row>
    <row r="12" spans="1:6" x14ac:dyDescent="0.25">
      <c r="A12" s="3">
        <v>5</v>
      </c>
      <c r="B12" s="6">
        <v>0.67374138273859407</v>
      </c>
      <c r="C12" s="6">
        <v>0.71</v>
      </c>
      <c r="D12" s="6">
        <v>0.10424931653542543</v>
      </c>
      <c r="E12" s="6">
        <v>6.8026735323326246E-2</v>
      </c>
      <c r="F12" s="12">
        <f t="shared" si="0"/>
        <v>0.63205246693921591</v>
      </c>
    </row>
    <row r="13" spans="1:6" x14ac:dyDescent="0.25">
      <c r="A13" s="4">
        <v>500</v>
      </c>
      <c r="B13" s="6">
        <v>0.71222294313825463</v>
      </c>
      <c r="C13" s="6">
        <v>0.73791666666666667</v>
      </c>
      <c r="D13" s="6">
        <v>3.9250314315445886E-2</v>
      </c>
      <c r="E13" s="6">
        <v>3.0849517149109058E-2</v>
      </c>
      <c r="F13" s="11">
        <f t="shared" si="0"/>
        <v>0.70171069532069885</v>
      </c>
    </row>
    <row r="14" spans="1:6" x14ac:dyDescent="0.25">
      <c r="A14" s="4">
        <v>300</v>
      </c>
      <c r="B14" s="6">
        <v>0.69880466443914457</v>
      </c>
      <c r="C14" s="6">
        <v>0.72312499999999957</v>
      </c>
      <c r="D14" s="6">
        <v>4.419027259707372E-2</v>
      </c>
      <c r="E14" s="6">
        <v>3.8278379994460918E-2</v>
      </c>
      <c r="F14" s="11">
        <f t="shared" si="0"/>
        <v>0.68665108828778776</v>
      </c>
    </row>
    <row r="15" spans="1:6" x14ac:dyDescent="0.25">
      <c r="A15" s="4">
        <v>100</v>
      </c>
      <c r="B15" s="6">
        <v>0.61019654063838269</v>
      </c>
      <c r="C15" s="6">
        <v>0.66895833333333332</v>
      </c>
      <c r="D15" s="6">
        <v>0.17537928703084441</v>
      </c>
      <c r="E15" s="6">
        <v>0.11017977733383484</v>
      </c>
      <c r="F15" s="11">
        <f t="shared" si="0"/>
        <v>0.53811351072542724</v>
      </c>
    </row>
    <row r="16" spans="1:6" x14ac:dyDescent="0.25">
      <c r="A16" s="3">
        <v>7</v>
      </c>
      <c r="B16" s="6">
        <v>0.66967431047319759</v>
      </c>
      <c r="C16" s="6">
        <v>0.71069444444444452</v>
      </c>
      <c r="D16" s="6">
        <v>0.10014213941858868</v>
      </c>
      <c r="E16" s="6">
        <v>6.5501702957080701E-2</v>
      </c>
      <c r="F16" s="12">
        <f t="shared" si="0"/>
        <v>0.63153136395868381</v>
      </c>
    </row>
    <row r="17" spans="1:9" x14ac:dyDescent="0.25">
      <c r="A17" s="4">
        <v>300</v>
      </c>
      <c r="B17" s="6">
        <v>0.70064609607172901</v>
      </c>
      <c r="C17" s="6">
        <v>0.73</v>
      </c>
      <c r="D17" s="6">
        <v>3.4384509059454102E-2</v>
      </c>
      <c r="E17" s="6">
        <v>3.1380975526583782E-2</v>
      </c>
      <c r="F17" s="11">
        <f t="shared" si="0"/>
        <v>0.6947974035665675</v>
      </c>
    </row>
    <row r="18" spans="1:9" x14ac:dyDescent="0.25">
      <c r="A18" s="4">
        <v>500</v>
      </c>
      <c r="B18" s="6">
        <v>0.6959302641007713</v>
      </c>
      <c r="C18" s="6">
        <v>0.73020833333333324</v>
      </c>
      <c r="D18" s="6">
        <v>5.360844207733177E-3</v>
      </c>
      <c r="E18" s="6">
        <v>5.0518148554051703E-3</v>
      </c>
      <c r="F18" s="11">
        <f t="shared" si="0"/>
        <v>0.70397663838174818</v>
      </c>
    </row>
    <row r="19" spans="1:9" x14ac:dyDescent="0.25">
      <c r="A19" s="4">
        <v>100</v>
      </c>
      <c r="B19" s="6">
        <v>0.61244657124709234</v>
      </c>
      <c r="C19" s="6">
        <v>0.671875</v>
      </c>
      <c r="D19" s="6">
        <v>0.17753111874815192</v>
      </c>
      <c r="E19" s="6">
        <v>0.11296431958808971</v>
      </c>
      <c r="F19" s="11">
        <f t="shared" si="0"/>
        <v>0.53989261262568511</v>
      </c>
    </row>
    <row r="20" spans="1:9" x14ac:dyDescent="0.25">
      <c r="A20" s="3">
        <v>13</v>
      </c>
      <c r="B20" s="6">
        <v>0.40724749475343985</v>
      </c>
      <c r="C20" s="6">
        <v>0.58979166666666627</v>
      </c>
      <c r="D20" s="6">
        <v>0.27373444891092286</v>
      </c>
      <c r="E20" s="6">
        <v>0.12364894864090077</v>
      </c>
      <c r="F20" s="12">
        <f t="shared" si="0"/>
        <v>0.307491316682032</v>
      </c>
    </row>
    <row r="21" spans="1:9" x14ac:dyDescent="0.25">
      <c r="A21" s="4">
        <v>100</v>
      </c>
      <c r="B21" s="6">
        <v>0.49504549150654736</v>
      </c>
      <c r="C21" s="6">
        <v>0.60395833333333282</v>
      </c>
      <c r="D21" s="6">
        <v>0.1563821272955446</v>
      </c>
      <c r="E21" s="6">
        <v>9.4060596603110919E-2</v>
      </c>
      <c r="F21" s="11">
        <f t="shared" si="0"/>
        <v>0.44647003392863505</v>
      </c>
    </row>
    <row r="22" spans="1:9" x14ac:dyDescent="0.25">
      <c r="A22" s="4">
        <v>500</v>
      </c>
      <c r="B22" s="6">
        <v>0.42461419872186307</v>
      </c>
      <c r="C22" s="6">
        <v>0.61354166666666665</v>
      </c>
      <c r="D22" s="6">
        <v>0.35029620063178901</v>
      </c>
      <c r="E22" s="6">
        <v>0.14851390577428508</v>
      </c>
      <c r="F22" s="11">
        <f t="shared" si="0"/>
        <v>0.28063927039533743</v>
      </c>
      <c r="I22" s="9"/>
    </row>
    <row r="23" spans="1:9" x14ac:dyDescent="0.25">
      <c r="A23" s="4">
        <v>300</v>
      </c>
      <c r="B23" s="6">
        <v>0.30208279403190919</v>
      </c>
      <c r="C23" s="6">
        <v>0.55187499999999967</v>
      </c>
      <c r="D23" s="6">
        <v>0.35207220678444356</v>
      </c>
      <c r="E23" s="6">
        <v>0.16416098234659779</v>
      </c>
      <c r="F23" s="11">
        <f t="shared" si="0"/>
        <v>0.1798182057772052</v>
      </c>
    </row>
    <row r="24" spans="1:9" x14ac:dyDescent="0.25">
      <c r="A24" s="3">
        <v>20</v>
      </c>
      <c r="B24" s="6">
        <v>0.29128418277151552</v>
      </c>
      <c r="C24" s="6">
        <v>0.54729166666666662</v>
      </c>
      <c r="D24" s="6">
        <v>0.27842616873598192</v>
      </c>
      <c r="E24" s="6">
        <v>0.11807125099913184</v>
      </c>
      <c r="F24" s="12">
        <f t="shared" si="0"/>
        <v>0.20860948512461308</v>
      </c>
    </row>
    <row r="25" spans="1:9" x14ac:dyDescent="0.25">
      <c r="A25" s="4">
        <v>100</v>
      </c>
      <c r="B25" s="6">
        <v>0.35708594262539473</v>
      </c>
      <c r="C25" s="6">
        <v>0.53979166666666634</v>
      </c>
      <c r="D25" s="6">
        <v>4.4530860906509311E-2</v>
      </c>
      <c r="E25" s="6">
        <v>7.5086755378869626E-3</v>
      </c>
      <c r="F25" s="11">
        <f t="shared" si="0"/>
        <v>0.38297865986458574</v>
      </c>
    </row>
    <row r="26" spans="1:9" x14ac:dyDescent="0.25">
      <c r="A26" s="4">
        <v>300</v>
      </c>
      <c r="B26" s="6">
        <v>0.25938981466560468</v>
      </c>
      <c r="C26" s="6">
        <v>0.54958333333333342</v>
      </c>
      <c r="D26" s="6">
        <v>0.3864555301701984</v>
      </c>
      <c r="E26" s="6">
        <v>0.16927733961854796</v>
      </c>
      <c r="F26" s="11">
        <f t="shared" si="0"/>
        <v>0.12671220103234881</v>
      </c>
    </row>
    <row r="27" spans="1:9" x14ac:dyDescent="0.25">
      <c r="A27" s="4">
        <v>500</v>
      </c>
      <c r="B27" s="6">
        <v>0.25737679102354699</v>
      </c>
      <c r="C27" s="6">
        <v>0.55249999999999999</v>
      </c>
      <c r="D27" s="6">
        <v>0.38601606323823667</v>
      </c>
      <c r="E27" s="6">
        <v>0.16407053551750253</v>
      </c>
      <c r="F27" s="12">
        <f t="shared" si="0"/>
        <v>0.12492367010496799</v>
      </c>
    </row>
    <row r="28" spans="1:9" x14ac:dyDescent="0.25">
      <c r="A28" s="3" t="s">
        <v>30</v>
      </c>
      <c r="B28" s="6">
        <v>0.59971573976064585</v>
      </c>
      <c r="C28" s="6">
        <v>0.68112268518518482</v>
      </c>
      <c r="D28" s="6">
        <v>0.25137673519455234</v>
      </c>
      <c r="E28" s="6">
        <v>0.12365111708485758</v>
      </c>
      <c r="F28" s="12">
        <f t="shared" si="0"/>
        <v>0.48526944387727816</v>
      </c>
    </row>
    <row r="29" spans="1:9" x14ac:dyDescent="0.25">
      <c r="B29" s="6"/>
      <c r="C29" s="6"/>
      <c r="D29" s="6"/>
      <c r="E29" s="6"/>
      <c r="F29" s="6"/>
    </row>
    <row r="32" spans="1:9" x14ac:dyDescent="0.25">
      <c r="B32" s="5" t="s">
        <v>46</v>
      </c>
      <c r="C32" s="6">
        <f>F5</f>
        <v>0.85144422458121516</v>
      </c>
      <c r="D32" t="s">
        <v>51</v>
      </c>
    </row>
    <row r="33" spans="2:4" x14ac:dyDescent="0.25">
      <c r="B33" s="5" t="s">
        <v>59</v>
      </c>
      <c r="C33" s="6">
        <f>F27</f>
        <v>0.12492367010496799</v>
      </c>
      <c r="D33" t="s">
        <v>60</v>
      </c>
    </row>
    <row r="34" spans="2:4" x14ac:dyDescent="0.25">
      <c r="B34" s="5"/>
    </row>
  </sheetData>
  <sortState xmlns:xlrd2="http://schemas.microsoft.com/office/spreadsheetml/2017/richdata2" ref="S38:S62">
    <sortCondition ref="S38:S62"/>
  </sortState>
  <conditionalFormatting pivot="1" sqref="B4:B28 C4:C28 E4:E2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4:D28">
    <cfRule type="colorScale" priority="2">
      <colorScale>
        <cfvo type="min"/>
        <cfvo type="percentile" val="50"/>
        <cfvo type="max"/>
        <color theme="9"/>
        <color rgb="FFFFEB84"/>
        <color rgb="FFFF0000"/>
      </colorScale>
    </cfRule>
  </conditionalFormatting>
  <conditionalFormatting sqref="F4:F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F2EA6-260C-4AF5-9B82-76B4838A8382}">
  <dimension ref="A1:AB55"/>
  <sheetViews>
    <sheetView topLeftCell="A13" workbookViewId="0">
      <selection activeCell="C51" sqref="C51:E51"/>
    </sheetView>
  </sheetViews>
  <sheetFormatPr defaultRowHeight="15" x14ac:dyDescent="0.25"/>
  <cols>
    <col min="2" max="2" width="9.85546875" customWidth="1"/>
    <col min="3" max="3" width="15.7109375" customWidth="1"/>
    <col min="6" max="6" width="9.7109375" customWidth="1"/>
    <col min="7" max="7" width="11.42578125" customWidth="1"/>
    <col min="8" max="8" width="18.7109375" customWidth="1"/>
    <col min="9" max="9" width="15.28515625" customWidth="1"/>
    <col min="10" max="10" width="12" customWidth="1"/>
    <col min="11" max="11" width="17.28515625" customWidth="1"/>
    <col min="12" max="12" width="20" customWidth="1"/>
    <col min="13" max="13" width="16.5703125" customWidth="1"/>
    <col min="14" max="14" width="13.28515625" customWidth="1"/>
    <col min="15" max="15" width="18.5703125" customWidth="1"/>
    <col min="16" max="16" width="11" customWidth="1"/>
    <col min="17" max="17" width="18" customWidth="1"/>
    <col min="18" max="18" width="14.5703125" customWidth="1"/>
    <col min="19" max="19" width="11.28515625" customWidth="1"/>
    <col min="20" max="20" width="20.7109375" customWidth="1"/>
    <col min="21" max="21" width="17.28515625" customWidth="1"/>
    <col min="22" max="22" width="14" customWidth="1"/>
    <col min="27" max="27" width="12" customWidth="1"/>
    <col min="28" max="28" width="10.285156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 t="s">
        <v>28</v>
      </c>
      <c r="C2">
        <v>100</v>
      </c>
      <c r="D2">
        <v>1</v>
      </c>
      <c r="E2">
        <v>3</v>
      </c>
      <c r="F2">
        <v>5</v>
      </c>
      <c r="G2">
        <v>5</v>
      </c>
      <c r="H2">
        <v>1</v>
      </c>
      <c r="I2">
        <v>0.66249999999999998</v>
      </c>
      <c r="J2">
        <v>0.79699248120300703</v>
      </c>
      <c r="K2">
        <v>800</v>
      </c>
      <c r="L2">
        <v>0.74766355140186902</v>
      </c>
      <c r="M2">
        <v>1</v>
      </c>
      <c r="N2">
        <v>0.85561497326203195</v>
      </c>
      <c r="O2">
        <v>800</v>
      </c>
      <c r="P2">
        <v>0.83125000000000004</v>
      </c>
      <c r="Q2">
        <v>0.87383177570093395</v>
      </c>
      <c r="R2">
        <v>0.83125000000000004</v>
      </c>
      <c r="S2">
        <v>0.82630372723251899</v>
      </c>
      <c r="T2">
        <v>0.87383177570093395</v>
      </c>
      <c r="U2">
        <v>0.83125000000000004</v>
      </c>
      <c r="V2">
        <v>0.82630372723251899</v>
      </c>
      <c r="W2">
        <v>530</v>
      </c>
      <c r="X2">
        <v>270</v>
      </c>
      <c r="Y2">
        <v>0</v>
      </c>
      <c r="Z2">
        <v>800</v>
      </c>
      <c r="AA2">
        <v>0.83125000000000004</v>
      </c>
      <c r="AB2">
        <v>0.74766355140186902</v>
      </c>
    </row>
    <row r="3" spans="1:28" x14ac:dyDescent="0.25">
      <c r="A3">
        <v>2</v>
      </c>
      <c r="B3" t="s">
        <v>28</v>
      </c>
      <c r="C3">
        <v>100</v>
      </c>
      <c r="D3">
        <v>1</v>
      </c>
      <c r="E3">
        <v>5</v>
      </c>
      <c r="F3">
        <v>5</v>
      </c>
      <c r="G3">
        <v>5</v>
      </c>
      <c r="H3">
        <v>1</v>
      </c>
      <c r="I3">
        <v>0.6875</v>
      </c>
      <c r="J3">
        <v>0.81481481481481399</v>
      </c>
      <c r="K3">
        <v>800</v>
      </c>
      <c r="L3">
        <v>0.76190476190476097</v>
      </c>
      <c r="M3">
        <v>1</v>
      </c>
      <c r="N3">
        <v>0.86486486486486402</v>
      </c>
      <c r="O3">
        <v>800</v>
      </c>
      <c r="P3">
        <v>0.84375</v>
      </c>
      <c r="Q3">
        <v>0.88095238095238004</v>
      </c>
      <c r="R3">
        <v>0.84375</v>
      </c>
      <c r="S3">
        <v>0.83983983983983901</v>
      </c>
      <c r="T3">
        <v>0.88095238095238104</v>
      </c>
      <c r="U3">
        <v>0.84375</v>
      </c>
      <c r="V3">
        <v>0.83983983983983901</v>
      </c>
      <c r="W3">
        <v>550</v>
      </c>
      <c r="X3">
        <v>250</v>
      </c>
      <c r="Y3">
        <v>0</v>
      </c>
      <c r="Z3">
        <v>800</v>
      </c>
      <c r="AA3">
        <v>0.84375</v>
      </c>
      <c r="AB3">
        <v>0.76190476190476097</v>
      </c>
    </row>
    <row r="4" spans="1:28" x14ac:dyDescent="0.25">
      <c r="A4">
        <v>3</v>
      </c>
      <c r="B4" t="s">
        <v>28</v>
      </c>
      <c r="C4">
        <v>100</v>
      </c>
      <c r="D4">
        <v>1</v>
      </c>
      <c r="E4">
        <v>7</v>
      </c>
      <c r="F4">
        <v>5</v>
      </c>
      <c r="G4">
        <v>5</v>
      </c>
      <c r="H4">
        <v>1</v>
      </c>
      <c r="I4">
        <v>0.65874999999999995</v>
      </c>
      <c r="J4">
        <v>0.79427279577995402</v>
      </c>
      <c r="K4">
        <v>800</v>
      </c>
      <c r="L4">
        <v>0.74557315936626201</v>
      </c>
      <c r="M4">
        <v>1</v>
      </c>
      <c r="N4">
        <v>0.854244527495995</v>
      </c>
      <c r="O4">
        <v>800</v>
      </c>
      <c r="P4">
        <v>0.82937499999999997</v>
      </c>
      <c r="Q4">
        <v>0.872786579683131</v>
      </c>
      <c r="R4">
        <v>0.82937499999999997</v>
      </c>
      <c r="S4">
        <v>0.82425866163797501</v>
      </c>
      <c r="T4">
        <v>0.872786579683131</v>
      </c>
      <c r="U4">
        <v>0.82937499999999997</v>
      </c>
      <c r="V4">
        <v>0.82425866163797501</v>
      </c>
      <c r="W4">
        <v>527</v>
      </c>
      <c r="X4">
        <v>273</v>
      </c>
      <c r="Y4">
        <v>0</v>
      </c>
      <c r="Z4">
        <v>800</v>
      </c>
      <c r="AA4">
        <v>0.82937499999999997</v>
      </c>
      <c r="AB4">
        <v>0.74557315936626201</v>
      </c>
    </row>
    <row r="5" spans="1:28" x14ac:dyDescent="0.25">
      <c r="A5">
        <v>4</v>
      </c>
      <c r="B5" t="s">
        <v>28</v>
      </c>
      <c r="C5">
        <v>300</v>
      </c>
      <c r="D5">
        <v>1</v>
      </c>
      <c r="E5">
        <v>3</v>
      </c>
      <c r="F5">
        <v>5</v>
      </c>
      <c r="G5">
        <v>5</v>
      </c>
      <c r="H5">
        <v>1</v>
      </c>
      <c r="I5">
        <v>0.66374999999999995</v>
      </c>
      <c r="J5">
        <v>0.797896318557475</v>
      </c>
      <c r="K5">
        <v>800</v>
      </c>
      <c r="L5">
        <v>0.74836295603367597</v>
      </c>
      <c r="M5">
        <v>1</v>
      </c>
      <c r="N5">
        <v>0.85607276618512496</v>
      </c>
      <c r="O5">
        <v>800</v>
      </c>
      <c r="P5">
        <v>0.83187500000000003</v>
      </c>
      <c r="Q5">
        <v>0.87418147801683799</v>
      </c>
      <c r="R5">
        <v>0.83187499999999903</v>
      </c>
      <c r="S5">
        <v>0.82698454237130004</v>
      </c>
      <c r="T5">
        <v>0.87418147801683799</v>
      </c>
      <c r="U5">
        <v>0.83187500000000003</v>
      </c>
      <c r="V5">
        <v>0.82698454237130004</v>
      </c>
      <c r="W5">
        <v>531</v>
      </c>
      <c r="X5">
        <v>269</v>
      </c>
      <c r="Y5">
        <v>0</v>
      </c>
      <c r="Z5">
        <v>800</v>
      </c>
      <c r="AA5">
        <v>0.83187500000000003</v>
      </c>
      <c r="AB5">
        <v>0.74836295603367597</v>
      </c>
    </row>
    <row r="6" spans="1:28" x14ac:dyDescent="0.25">
      <c r="A6">
        <v>5</v>
      </c>
      <c r="B6" t="s">
        <v>28</v>
      </c>
      <c r="C6">
        <v>300</v>
      </c>
      <c r="D6">
        <v>1</v>
      </c>
      <c r="E6">
        <v>5</v>
      </c>
      <c r="F6">
        <v>5</v>
      </c>
      <c r="G6">
        <v>5</v>
      </c>
      <c r="H6">
        <v>1</v>
      </c>
      <c r="I6">
        <v>0.7</v>
      </c>
      <c r="J6">
        <v>0.82352941176470495</v>
      </c>
      <c r="K6">
        <v>800</v>
      </c>
      <c r="L6">
        <v>0.76923076923076905</v>
      </c>
      <c r="M6">
        <v>1</v>
      </c>
      <c r="N6">
        <v>0.86956521739130399</v>
      </c>
      <c r="O6">
        <v>800</v>
      </c>
      <c r="P6">
        <v>0.85</v>
      </c>
      <c r="Q6">
        <v>0.88461538461538403</v>
      </c>
      <c r="R6">
        <v>0.85</v>
      </c>
      <c r="S6">
        <v>0.84654731457800503</v>
      </c>
      <c r="T6">
        <v>0.88461538461538403</v>
      </c>
      <c r="U6">
        <v>0.85</v>
      </c>
      <c r="V6">
        <v>0.84654731457800503</v>
      </c>
      <c r="W6">
        <v>560</v>
      </c>
      <c r="X6">
        <v>240</v>
      </c>
      <c r="Y6">
        <v>0</v>
      </c>
      <c r="Z6">
        <v>800</v>
      </c>
      <c r="AA6">
        <v>0.85</v>
      </c>
      <c r="AB6">
        <v>0.76923076923076905</v>
      </c>
    </row>
    <row r="7" spans="1:28" x14ac:dyDescent="0.25">
      <c r="A7">
        <v>6</v>
      </c>
      <c r="B7" t="s">
        <v>28</v>
      </c>
      <c r="C7">
        <v>300</v>
      </c>
      <c r="D7">
        <v>1</v>
      </c>
      <c r="E7">
        <v>7</v>
      </c>
      <c r="F7">
        <v>5</v>
      </c>
      <c r="G7">
        <v>5</v>
      </c>
      <c r="H7">
        <v>0.96061643835616395</v>
      </c>
      <c r="I7">
        <v>0.70125000000000004</v>
      </c>
      <c r="J7">
        <v>0.810693641618497</v>
      </c>
      <c r="K7">
        <v>800</v>
      </c>
      <c r="L7">
        <v>0.76476377952755903</v>
      </c>
      <c r="M7">
        <v>0.97124999999999995</v>
      </c>
      <c r="N7">
        <v>0.85572687224669597</v>
      </c>
      <c r="O7">
        <v>800</v>
      </c>
      <c r="P7">
        <v>0.83625000000000005</v>
      </c>
      <c r="Q7">
        <v>0.86269010894186104</v>
      </c>
      <c r="R7">
        <v>0.83624999999999905</v>
      </c>
      <c r="S7">
        <v>0.83321025693259598</v>
      </c>
      <c r="T7">
        <v>0.86269010894186104</v>
      </c>
      <c r="U7">
        <v>0.83625000000000005</v>
      </c>
      <c r="V7">
        <v>0.83321025693259598</v>
      </c>
      <c r="W7">
        <v>561</v>
      </c>
      <c r="X7">
        <v>239</v>
      </c>
      <c r="Y7">
        <v>23</v>
      </c>
      <c r="Z7">
        <v>777</v>
      </c>
      <c r="AA7">
        <v>0.83624999999999905</v>
      </c>
      <c r="AB7">
        <v>0.75715182086614097</v>
      </c>
    </row>
    <row r="8" spans="1:28" x14ac:dyDescent="0.25">
      <c r="A8">
        <v>7</v>
      </c>
      <c r="B8" t="s">
        <v>28</v>
      </c>
      <c r="C8">
        <v>500</v>
      </c>
      <c r="D8">
        <v>1</v>
      </c>
      <c r="E8">
        <v>3</v>
      </c>
      <c r="F8">
        <v>5</v>
      </c>
      <c r="G8">
        <v>5</v>
      </c>
      <c r="H8">
        <v>0</v>
      </c>
      <c r="I8">
        <v>0</v>
      </c>
      <c r="J8">
        <v>0</v>
      </c>
      <c r="K8">
        <v>800</v>
      </c>
      <c r="L8">
        <v>0.5</v>
      </c>
      <c r="M8">
        <v>1</v>
      </c>
      <c r="N8">
        <v>0.66666666666666596</v>
      </c>
      <c r="O8">
        <v>800</v>
      </c>
      <c r="P8">
        <v>0.5</v>
      </c>
      <c r="Q8">
        <v>0.25</v>
      </c>
      <c r="R8">
        <v>0.5</v>
      </c>
      <c r="S8">
        <v>0.33333333333333298</v>
      </c>
      <c r="T8">
        <v>0.25</v>
      </c>
      <c r="U8">
        <v>0.5</v>
      </c>
      <c r="V8">
        <v>0.33333333333333298</v>
      </c>
      <c r="W8">
        <v>0</v>
      </c>
      <c r="X8">
        <v>800</v>
      </c>
      <c r="Y8">
        <v>0</v>
      </c>
      <c r="Z8">
        <v>800</v>
      </c>
      <c r="AA8">
        <v>0.5</v>
      </c>
      <c r="AB8">
        <v>0.5</v>
      </c>
    </row>
    <row r="9" spans="1:28" x14ac:dyDescent="0.25">
      <c r="A9">
        <v>8</v>
      </c>
      <c r="B9" t="s">
        <v>28</v>
      </c>
      <c r="C9">
        <v>500</v>
      </c>
      <c r="D9">
        <v>1</v>
      </c>
      <c r="E9">
        <v>5</v>
      </c>
      <c r="F9">
        <v>5</v>
      </c>
      <c r="G9">
        <v>5</v>
      </c>
      <c r="H9">
        <v>1</v>
      </c>
      <c r="I9">
        <v>0.67</v>
      </c>
      <c r="J9">
        <v>0.80239520958083799</v>
      </c>
      <c r="K9">
        <v>800</v>
      </c>
      <c r="L9">
        <v>0.75187969924812004</v>
      </c>
      <c r="M9">
        <v>1</v>
      </c>
      <c r="N9">
        <v>0.85836909871244604</v>
      </c>
      <c r="O9">
        <v>800</v>
      </c>
      <c r="P9">
        <v>0.83499999999999996</v>
      </c>
      <c r="Q9">
        <v>0.87593984962406002</v>
      </c>
      <c r="R9">
        <v>0.83499999999999996</v>
      </c>
      <c r="S9">
        <v>0.83038215414664196</v>
      </c>
      <c r="T9">
        <v>0.87593984962406002</v>
      </c>
      <c r="U9">
        <v>0.83499999999999996</v>
      </c>
      <c r="V9">
        <v>0.83038215414664196</v>
      </c>
      <c r="W9">
        <v>536</v>
      </c>
      <c r="X9">
        <v>264</v>
      </c>
      <c r="Y9">
        <v>0</v>
      </c>
      <c r="Z9">
        <v>800</v>
      </c>
      <c r="AA9">
        <v>0.83499999999999996</v>
      </c>
      <c r="AB9">
        <v>0.75187969924812004</v>
      </c>
    </row>
    <row r="10" spans="1:28" x14ac:dyDescent="0.25">
      <c r="A10">
        <v>9</v>
      </c>
      <c r="B10" t="s">
        <v>28</v>
      </c>
      <c r="C10">
        <v>500</v>
      </c>
      <c r="D10">
        <v>1</v>
      </c>
      <c r="E10">
        <v>7</v>
      </c>
      <c r="F10">
        <v>5</v>
      </c>
      <c r="G10">
        <v>5</v>
      </c>
      <c r="H10">
        <v>1</v>
      </c>
      <c r="I10">
        <v>0.6925</v>
      </c>
      <c r="J10">
        <v>0.81831610044313097</v>
      </c>
      <c r="K10">
        <v>800</v>
      </c>
      <c r="L10">
        <v>0.76481835564053502</v>
      </c>
      <c r="M10">
        <v>1</v>
      </c>
      <c r="N10">
        <v>0.86673889490790901</v>
      </c>
      <c r="O10">
        <v>800</v>
      </c>
      <c r="P10">
        <v>0.84624999999999995</v>
      </c>
      <c r="Q10">
        <v>0.88240917782026695</v>
      </c>
      <c r="R10">
        <v>0.84624999999999995</v>
      </c>
      <c r="S10">
        <v>0.84252749767552004</v>
      </c>
      <c r="T10">
        <v>0.88240917782026695</v>
      </c>
      <c r="U10">
        <v>0.84624999999999995</v>
      </c>
      <c r="V10">
        <v>0.84252749767552004</v>
      </c>
      <c r="W10">
        <v>554</v>
      </c>
      <c r="X10">
        <v>246</v>
      </c>
      <c r="Y10">
        <v>0</v>
      </c>
      <c r="Z10">
        <v>800</v>
      </c>
      <c r="AA10">
        <v>0.84624999999999995</v>
      </c>
      <c r="AB10">
        <v>0.76481835564053502</v>
      </c>
    </row>
    <row r="11" spans="1:28" x14ac:dyDescent="0.25">
      <c r="A11">
        <v>10</v>
      </c>
      <c r="B11" t="s">
        <v>28</v>
      </c>
      <c r="C11">
        <v>100</v>
      </c>
      <c r="D11">
        <v>3</v>
      </c>
      <c r="E11">
        <v>3</v>
      </c>
      <c r="F11">
        <v>5</v>
      </c>
      <c r="G11">
        <v>5</v>
      </c>
      <c r="H11">
        <v>0.73717146433041303</v>
      </c>
      <c r="I11">
        <v>0.73624999999999996</v>
      </c>
      <c r="J11">
        <v>0.73671044402751695</v>
      </c>
      <c r="K11">
        <v>800</v>
      </c>
      <c r="L11">
        <v>0.73657927590511796</v>
      </c>
      <c r="M11">
        <v>0.73750000000000004</v>
      </c>
      <c r="N11">
        <v>0.737039350405996</v>
      </c>
      <c r="O11">
        <v>800</v>
      </c>
      <c r="P11">
        <v>0.73687499999999995</v>
      </c>
      <c r="Q11">
        <v>0.73687537011776505</v>
      </c>
      <c r="R11">
        <v>0.73687499999999995</v>
      </c>
      <c r="S11">
        <v>0.73687489721675603</v>
      </c>
      <c r="T11">
        <v>0.73687537011776505</v>
      </c>
      <c r="U11">
        <v>0.73687499999999995</v>
      </c>
      <c r="V11">
        <v>0.73687489721675603</v>
      </c>
      <c r="W11">
        <v>589</v>
      </c>
      <c r="X11">
        <v>211</v>
      </c>
      <c r="Y11">
        <v>210</v>
      </c>
      <c r="Z11">
        <v>590</v>
      </c>
      <c r="AA11">
        <v>0.73687499999999995</v>
      </c>
      <c r="AB11">
        <v>0.67447721598002497</v>
      </c>
    </row>
    <row r="12" spans="1:28" x14ac:dyDescent="0.25">
      <c r="A12">
        <v>11</v>
      </c>
      <c r="B12" t="s">
        <v>28</v>
      </c>
      <c r="C12">
        <v>100</v>
      </c>
      <c r="D12">
        <v>3</v>
      </c>
      <c r="E12">
        <v>5</v>
      </c>
      <c r="F12">
        <v>5</v>
      </c>
      <c r="G12">
        <v>5</v>
      </c>
      <c r="H12">
        <v>0.71859903381642498</v>
      </c>
      <c r="I12">
        <v>0.74375000000000002</v>
      </c>
      <c r="J12">
        <v>0.73095823095822998</v>
      </c>
      <c r="K12">
        <v>800</v>
      </c>
      <c r="L12">
        <v>0.73445595854922197</v>
      </c>
      <c r="M12">
        <v>0.70874999999999999</v>
      </c>
      <c r="N12">
        <v>0.72137404580152598</v>
      </c>
      <c r="O12">
        <v>800</v>
      </c>
      <c r="P12">
        <v>0.72624999999999995</v>
      </c>
      <c r="Q12">
        <v>0.72652749618282297</v>
      </c>
      <c r="R12">
        <v>0.72624999999999995</v>
      </c>
      <c r="S12">
        <v>0.72616613837987798</v>
      </c>
      <c r="T12">
        <v>0.72652749618282397</v>
      </c>
      <c r="U12">
        <v>0.72624999999999995</v>
      </c>
      <c r="V12">
        <v>0.72616613837987798</v>
      </c>
      <c r="W12">
        <v>595</v>
      </c>
      <c r="X12">
        <v>205</v>
      </c>
      <c r="Y12">
        <v>233</v>
      </c>
      <c r="Z12">
        <v>567</v>
      </c>
      <c r="AA12">
        <v>0.72624999999999995</v>
      </c>
      <c r="AB12">
        <v>0.666170660621761</v>
      </c>
    </row>
    <row r="13" spans="1:28" x14ac:dyDescent="0.25">
      <c r="A13">
        <v>12</v>
      </c>
      <c r="B13" t="s">
        <v>28</v>
      </c>
      <c r="C13">
        <v>100</v>
      </c>
      <c r="D13">
        <v>3</v>
      </c>
      <c r="E13">
        <v>7</v>
      </c>
      <c r="F13">
        <v>5</v>
      </c>
      <c r="G13">
        <v>5</v>
      </c>
      <c r="H13">
        <v>0.68013468013468004</v>
      </c>
      <c r="I13">
        <v>0.75749999999999995</v>
      </c>
      <c r="J13">
        <v>0.71673565937315198</v>
      </c>
      <c r="K13">
        <v>800</v>
      </c>
      <c r="L13">
        <v>0.72637517630465398</v>
      </c>
      <c r="M13">
        <v>0.64375000000000004</v>
      </c>
      <c r="N13">
        <v>0.68257123923127905</v>
      </c>
      <c r="O13">
        <v>800</v>
      </c>
      <c r="P13">
        <v>0.70062500000000005</v>
      </c>
      <c r="Q13">
        <v>0.70325492821966695</v>
      </c>
      <c r="R13">
        <v>0.70062500000000005</v>
      </c>
      <c r="S13">
        <v>0.69965344930221496</v>
      </c>
      <c r="T13">
        <v>0.70325492821966695</v>
      </c>
      <c r="U13">
        <v>0.70062500000000005</v>
      </c>
      <c r="V13">
        <v>0.69965344930221496</v>
      </c>
      <c r="W13">
        <v>606</v>
      </c>
      <c r="X13">
        <v>194</v>
      </c>
      <c r="Y13">
        <v>285</v>
      </c>
      <c r="Z13">
        <v>515</v>
      </c>
      <c r="AA13">
        <v>0.70062500000000005</v>
      </c>
      <c r="AB13">
        <v>0.64572901974612096</v>
      </c>
    </row>
    <row r="14" spans="1:28" x14ac:dyDescent="0.25">
      <c r="A14">
        <v>13</v>
      </c>
      <c r="B14" t="s">
        <v>28</v>
      </c>
      <c r="C14">
        <v>300</v>
      </c>
      <c r="D14">
        <v>3</v>
      </c>
      <c r="E14">
        <v>3</v>
      </c>
      <c r="F14">
        <v>5</v>
      </c>
      <c r="G14">
        <v>5</v>
      </c>
      <c r="H14">
        <v>0.73282442748091603</v>
      </c>
      <c r="I14">
        <v>0.72</v>
      </c>
      <c r="J14">
        <v>0.72635561160151296</v>
      </c>
      <c r="K14">
        <v>800</v>
      </c>
      <c r="L14">
        <v>0.72481572481572398</v>
      </c>
      <c r="M14">
        <v>0.73750000000000004</v>
      </c>
      <c r="N14">
        <v>0.73110285006195797</v>
      </c>
      <c r="O14">
        <v>800</v>
      </c>
      <c r="P14">
        <v>0.72875000000000001</v>
      </c>
      <c r="Q14">
        <v>0.72882007614832001</v>
      </c>
      <c r="R14">
        <v>0.72875000000000001</v>
      </c>
      <c r="S14">
        <v>0.72872923083173502</v>
      </c>
      <c r="T14">
        <v>0.72882007614832001</v>
      </c>
      <c r="U14">
        <v>0.72875000000000001</v>
      </c>
      <c r="V14">
        <v>0.72872923083173502</v>
      </c>
      <c r="W14">
        <v>576</v>
      </c>
      <c r="X14">
        <v>224</v>
      </c>
      <c r="Y14">
        <v>210</v>
      </c>
      <c r="Z14">
        <v>590</v>
      </c>
      <c r="AA14">
        <v>0.72875000000000001</v>
      </c>
      <c r="AB14">
        <v>0.66580159705159703</v>
      </c>
    </row>
    <row r="15" spans="1:28" x14ac:dyDescent="0.25">
      <c r="A15">
        <v>14</v>
      </c>
      <c r="B15" t="s">
        <v>28</v>
      </c>
      <c r="C15">
        <v>300</v>
      </c>
      <c r="D15">
        <v>3</v>
      </c>
      <c r="E15">
        <v>5</v>
      </c>
      <c r="F15">
        <v>5</v>
      </c>
      <c r="G15">
        <v>5</v>
      </c>
      <c r="H15">
        <v>0.71791767554479402</v>
      </c>
      <c r="I15">
        <v>0.74124999999999996</v>
      </c>
      <c r="J15">
        <v>0.72939729397293895</v>
      </c>
      <c r="K15">
        <v>800</v>
      </c>
      <c r="L15">
        <v>0.73255813953488302</v>
      </c>
      <c r="M15">
        <v>0.70874999999999999</v>
      </c>
      <c r="N15">
        <v>0.720457433290978</v>
      </c>
      <c r="O15">
        <v>800</v>
      </c>
      <c r="P15">
        <v>0.72499999999999998</v>
      </c>
      <c r="Q15">
        <v>0.72523790753983897</v>
      </c>
      <c r="R15">
        <v>0.72499999999999998</v>
      </c>
      <c r="S15">
        <v>0.72492736363195898</v>
      </c>
      <c r="T15">
        <v>0.72523790753983797</v>
      </c>
      <c r="U15">
        <v>0.72499999999999998</v>
      </c>
      <c r="V15">
        <v>0.72492736363195898</v>
      </c>
      <c r="W15">
        <v>593</v>
      </c>
      <c r="X15">
        <v>207</v>
      </c>
      <c r="Y15">
        <v>233</v>
      </c>
      <c r="Z15">
        <v>567</v>
      </c>
      <c r="AA15">
        <v>0.72499999999999898</v>
      </c>
      <c r="AB15">
        <v>0.66482558139534798</v>
      </c>
    </row>
    <row r="16" spans="1:28" x14ac:dyDescent="0.25">
      <c r="A16">
        <v>15</v>
      </c>
      <c r="B16" t="s">
        <v>28</v>
      </c>
      <c r="C16">
        <v>300</v>
      </c>
      <c r="D16">
        <v>3</v>
      </c>
      <c r="E16">
        <v>7</v>
      </c>
      <c r="F16">
        <v>5</v>
      </c>
      <c r="G16">
        <v>5</v>
      </c>
      <c r="H16">
        <v>0.67637877211238295</v>
      </c>
      <c r="I16">
        <v>0.8125</v>
      </c>
      <c r="J16">
        <v>0.73821692220329305</v>
      </c>
      <c r="K16">
        <v>800</v>
      </c>
      <c r="L16">
        <v>0.76525821596244104</v>
      </c>
      <c r="M16">
        <v>0.61124999999999996</v>
      </c>
      <c r="N16">
        <v>0.67963863794301604</v>
      </c>
      <c r="O16">
        <v>800</v>
      </c>
      <c r="P16">
        <v>0.71187500000000004</v>
      </c>
      <c r="Q16">
        <v>0.72081849403741205</v>
      </c>
      <c r="R16">
        <v>0.71187500000000004</v>
      </c>
      <c r="S16">
        <v>0.70892778007315405</v>
      </c>
      <c r="T16">
        <v>0.72081849403741205</v>
      </c>
      <c r="U16">
        <v>0.71187500000000004</v>
      </c>
      <c r="V16">
        <v>0.70892778007315405</v>
      </c>
      <c r="W16">
        <v>650</v>
      </c>
      <c r="X16">
        <v>150</v>
      </c>
      <c r="Y16">
        <v>311</v>
      </c>
      <c r="Z16">
        <v>489</v>
      </c>
      <c r="AA16">
        <v>0.71187499999999904</v>
      </c>
      <c r="AB16">
        <v>0.66213908450704195</v>
      </c>
    </row>
    <row r="17" spans="1:28" x14ac:dyDescent="0.25">
      <c r="A17">
        <v>16</v>
      </c>
      <c r="B17" t="s">
        <v>28</v>
      </c>
      <c r="C17">
        <v>500</v>
      </c>
      <c r="D17">
        <v>3</v>
      </c>
      <c r="E17">
        <v>3</v>
      </c>
      <c r="F17">
        <v>5</v>
      </c>
      <c r="G17">
        <v>5</v>
      </c>
      <c r="H17">
        <v>0.73618090452261298</v>
      </c>
      <c r="I17">
        <v>0.73250000000000004</v>
      </c>
      <c r="J17">
        <v>0.73433583959899695</v>
      </c>
      <c r="K17">
        <v>800</v>
      </c>
      <c r="L17">
        <v>0.73383084577114399</v>
      </c>
      <c r="M17">
        <v>0.73750000000000004</v>
      </c>
      <c r="N17">
        <v>0.73566084788029895</v>
      </c>
      <c r="O17">
        <v>800</v>
      </c>
      <c r="P17">
        <v>0.73499999999999999</v>
      </c>
      <c r="Q17">
        <v>0.73500587514687798</v>
      </c>
      <c r="R17">
        <v>0.73499999999999999</v>
      </c>
      <c r="S17">
        <v>0.73499834373964801</v>
      </c>
      <c r="T17">
        <v>0.73500587514687798</v>
      </c>
      <c r="U17">
        <v>0.73499999999999999</v>
      </c>
      <c r="V17">
        <v>0.73499834373964801</v>
      </c>
      <c r="W17">
        <v>586</v>
      </c>
      <c r="X17">
        <v>214</v>
      </c>
      <c r="Y17">
        <v>210</v>
      </c>
      <c r="Z17">
        <v>590</v>
      </c>
      <c r="AA17">
        <v>0.73499999999999999</v>
      </c>
      <c r="AB17">
        <v>0.67245024875621895</v>
      </c>
    </row>
    <row r="18" spans="1:28" x14ac:dyDescent="0.25">
      <c r="A18">
        <v>17</v>
      </c>
      <c r="B18" t="s">
        <v>28</v>
      </c>
      <c r="C18">
        <v>500</v>
      </c>
      <c r="D18">
        <v>3</v>
      </c>
      <c r="E18">
        <v>5</v>
      </c>
      <c r="F18">
        <v>5</v>
      </c>
      <c r="G18">
        <v>5</v>
      </c>
      <c r="H18">
        <v>0.75495915985997597</v>
      </c>
      <c r="I18">
        <v>0.80874999999999997</v>
      </c>
      <c r="J18">
        <v>0.78092939046469501</v>
      </c>
      <c r="K18">
        <v>800</v>
      </c>
      <c r="L18">
        <v>0.79407806191117003</v>
      </c>
      <c r="M18">
        <v>0.73750000000000004</v>
      </c>
      <c r="N18">
        <v>0.76474400518470498</v>
      </c>
      <c r="O18">
        <v>800</v>
      </c>
      <c r="P18">
        <v>0.77312499999999995</v>
      </c>
      <c r="Q18">
        <v>0.77451861088557294</v>
      </c>
      <c r="R18">
        <v>0.77312499999999995</v>
      </c>
      <c r="S18">
        <v>0.77283669782469999</v>
      </c>
      <c r="T18">
        <v>0.77451861088557294</v>
      </c>
      <c r="U18">
        <v>0.77312499999999995</v>
      </c>
      <c r="V18">
        <v>0.77283669782469999</v>
      </c>
      <c r="W18">
        <v>647</v>
      </c>
      <c r="X18">
        <v>153</v>
      </c>
      <c r="Y18">
        <v>210</v>
      </c>
      <c r="Z18">
        <v>590</v>
      </c>
      <c r="AA18">
        <v>0.77312499999999995</v>
      </c>
      <c r="AB18">
        <v>0.71688257065948802</v>
      </c>
    </row>
    <row r="19" spans="1:28" x14ac:dyDescent="0.25">
      <c r="A19">
        <v>18</v>
      </c>
      <c r="B19" t="s">
        <v>28</v>
      </c>
      <c r="C19">
        <v>500</v>
      </c>
      <c r="D19">
        <v>3</v>
      </c>
      <c r="E19">
        <v>7</v>
      </c>
      <c r="F19">
        <v>5</v>
      </c>
      <c r="G19">
        <v>5</v>
      </c>
      <c r="H19">
        <v>0.68148914167528396</v>
      </c>
      <c r="I19">
        <v>0.82374999999999998</v>
      </c>
      <c r="J19">
        <v>0.745897000565931</v>
      </c>
      <c r="K19">
        <v>800</v>
      </c>
      <c r="L19">
        <v>0.77725118483412303</v>
      </c>
      <c r="M19">
        <v>0.61499999999999999</v>
      </c>
      <c r="N19">
        <v>0.68667131891137401</v>
      </c>
      <c r="O19">
        <v>800</v>
      </c>
      <c r="P19">
        <v>0.71937499999999999</v>
      </c>
      <c r="Q19">
        <v>0.72937016325470305</v>
      </c>
      <c r="R19">
        <v>0.71937499999999999</v>
      </c>
      <c r="S19">
        <v>0.716284159738652</v>
      </c>
      <c r="T19">
        <v>0.72937016325470305</v>
      </c>
      <c r="U19">
        <v>0.71937499999999999</v>
      </c>
      <c r="V19">
        <v>0.716284159738652</v>
      </c>
      <c r="W19">
        <v>659</v>
      </c>
      <c r="X19">
        <v>141</v>
      </c>
      <c r="Y19">
        <v>308</v>
      </c>
      <c r="Z19">
        <v>492</v>
      </c>
      <c r="AA19">
        <v>0.71937499999999999</v>
      </c>
      <c r="AB19">
        <v>0.67050947867298505</v>
      </c>
    </row>
    <row r="20" spans="1:28" x14ac:dyDescent="0.25">
      <c r="A20">
        <v>19</v>
      </c>
      <c r="B20" t="s">
        <v>28</v>
      </c>
      <c r="C20">
        <v>100</v>
      </c>
      <c r="D20">
        <v>5</v>
      </c>
      <c r="E20">
        <v>3</v>
      </c>
      <c r="F20">
        <v>5</v>
      </c>
      <c r="G20">
        <v>5</v>
      </c>
      <c r="H20">
        <v>0.52971576227390105</v>
      </c>
      <c r="I20">
        <v>0.76875000000000004</v>
      </c>
      <c r="J20">
        <v>0.62723100458949499</v>
      </c>
      <c r="K20">
        <v>800</v>
      </c>
      <c r="L20">
        <v>0.57858769931662801</v>
      </c>
      <c r="M20">
        <v>0.3175</v>
      </c>
      <c r="N20">
        <v>0.41000807102502002</v>
      </c>
      <c r="O20">
        <v>800</v>
      </c>
      <c r="P20">
        <v>0.54312499999999997</v>
      </c>
      <c r="Q20">
        <v>0.55415173079526503</v>
      </c>
      <c r="R20">
        <v>0.54312499999999997</v>
      </c>
      <c r="S20">
        <v>0.518619537807257</v>
      </c>
      <c r="T20">
        <v>0.55415173079526503</v>
      </c>
      <c r="U20">
        <v>0.54312499999999997</v>
      </c>
      <c r="V20">
        <v>0.518619537807257</v>
      </c>
      <c r="W20">
        <v>615</v>
      </c>
      <c r="X20">
        <v>185</v>
      </c>
      <c r="Y20">
        <v>546</v>
      </c>
      <c r="Z20">
        <v>254</v>
      </c>
      <c r="AA20">
        <v>0.54312499999999997</v>
      </c>
      <c r="AB20">
        <v>0.52495159453302898</v>
      </c>
    </row>
    <row r="21" spans="1:28" x14ac:dyDescent="0.25">
      <c r="A21">
        <v>20</v>
      </c>
      <c r="B21" t="s">
        <v>28</v>
      </c>
      <c r="C21">
        <v>100</v>
      </c>
      <c r="D21">
        <v>5</v>
      </c>
      <c r="E21">
        <v>5</v>
      </c>
      <c r="F21">
        <v>5</v>
      </c>
      <c r="G21">
        <v>5</v>
      </c>
      <c r="H21">
        <v>0.72842347525891804</v>
      </c>
      <c r="I21">
        <v>0.79125000000000001</v>
      </c>
      <c r="J21">
        <v>0.75853804673457104</v>
      </c>
      <c r="K21">
        <v>800</v>
      </c>
      <c r="L21">
        <v>0.77154582763337898</v>
      </c>
      <c r="M21">
        <v>0.70499999999999996</v>
      </c>
      <c r="N21">
        <v>0.73677335075114303</v>
      </c>
      <c r="O21">
        <v>800</v>
      </c>
      <c r="P21">
        <v>0.74812500000000004</v>
      </c>
      <c r="Q21">
        <v>0.74998465144614801</v>
      </c>
      <c r="R21">
        <v>0.74812499999999904</v>
      </c>
      <c r="S21">
        <v>0.74765569874285698</v>
      </c>
      <c r="T21">
        <v>0.74998465144614801</v>
      </c>
      <c r="U21">
        <v>0.74812500000000004</v>
      </c>
      <c r="V21">
        <v>0.74765569874285698</v>
      </c>
      <c r="W21">
        <v>633</v>
      </c>
      <c r="X21">
        <v>167</v>
      </c>
      <c r="Y21">
        <v>236</v>
      </c>
      <c r="Z21">
        <v>564</v>
      </c>
      <c r="AA21">
        <v>0.74812500000000004</v>
      </c>
      <c r="AB21">
        <v>0.69143980848153197</v>
      </c>
    </row>
    <row r="22" spans="1:28" x14ac:dyDescent="0.25">
      <c r="A22">
        <v>21</v>
      </c>
      <c r="B22" t="s">
        <v>28</v>
      </c>
      <c r="C22">
        <v>100</v>
      </c>
      <c r="D22">
        <v>5</v>
      </c>
      <c r="E22">
        <v>7</v>
      </c>
      <c r="F22">
        <v>5</v>
      </c>
      <c r="G22">
        <v>5</v>
      </c>
      <c r="H22">
        <v>0.67950052029136299</v>
      </c>
      <c r="I22">
        <v>0.81625000000000003</v>
      </c>
      <c r="J22">
        <v>0.74162407722884705</v>
      </c>
      <c r="K22">
        <v>800</v>
      </c>
      <c r="L22">
        <v>0.76995305164319205</v>
      </c>
      <c r="M22">
        <v>0.61499999999999999</v>
      </c>
      <c r="N22">
        <v>0.68380820013898502</v>
      </c>
      <c r="O22">
        <v>800</v>
      </c>
      <c r="P22">
        <v>0.71562499999999996</v>
      </c>
      <c r="Q22">
        <v>0.72472678596727702</v>
      </c>
      <c r="R22">
        <v>0.71562499999999996</v>
      </c>
      <c r="S22">
        <v>0.71271613868391603</v>
      </c>
      <c r="T22">
        <v>0.72472678596727702</v>
      </c>
      <c r="U22">
        <v>0.71562499999999996</v>
      </c>
      <c r="V22">
        <v>0.71271613868391603</v>
      </c>
      <c r="W22">
        <v>653</v>
      </c>
      <c r="X22">
        <v>147</v>
      </c>
      <c r="Y22">
        <v>308</v>
      </c>
      <c r="Z22">
        <v>492</v>
      </c>
      <c r="AA22">
        <v>0.71562499999999996</v>
      </c>
      <c r="AB22">
        <v>0.66602112676056302</v>
      </c>
    </row>
    <row r="23" spans="1:28" x14ac:dyDescent="0.25">
      <c r="A23">
        <v>22</v>
      </c>
      <c r="B23" t="s">
        <v>28</v>
      </c>
      <c r="C23">
        <v>300</v>
      </c>
      <c r="D23">
        <v>5</v>
      </c>
      <c r="E23">
        <v>3</v>
      </c>
      <c r="F23">
        <v>5</v>
      </c>
      <c r="G23">
        <v>5</v>
      </c>
      <c r="H23">
        <v>0.66815144766146894</v>
      </c>
      <c r="I23">
        <v>0.75</v>
      </c>
      <c r="J23">
        <v>0.70671378091872705</v>
      </c>
      <c r="K23">
        <v>800</v>
      </c>
      <c r="L23">
        <v>0.71509971509971504</v>
      </c>
      <c r="M23">
        <v>0.62749999999999995</v>
      </c>
      <c r="N23">
        <v>0.66844207723035898</v>
      </c>
      <c r="O23">
        <v>800</v>
      </c>
      <c r="P23">
        <v>0.68874999999999997</v>
      </c>
      <c r="Q23">
        <v>0.69162558138059205</v>
      </c>
      <c r="R23">
        <v>0.68874999999999997</v>
      </c>
      <c r="S23">
        <v>0.68757792907454296</v>
      </c>
      <c r="T23">
        <v>0.69162558138059205</v>
      </c>
      <c r="U23">
        <v>0.68874999999999997</v>
      </c>
      <c r="V23">
        <v>0.68757792907454296</v>
      </c>
      <c r="W23">
        <v>600</v>
      </c>
      <c r="X23">
        <v>200</v>
      </c>
      <c r="Y23">
        <v>298</v>
      </c>
      <c r="Z23">
        <v>502</v>
      </c>
      <c r="AA23">
        <v>0.68874999999999997</v>
      </c>
      <c r="AB23">
        <v>0.63497507122507102</v>
      </c>
    </row>
    <row r="24" spans="1:28" x14ac:dyDescent="0.25">
      <c r="A24">
        <v>23</v>
      </c>
      <c r="B24" t="s">
        <v>28</v>
      </c>
      <c r="C24">
        <v>300</v>
      </c>
      <c r="D24">
        <v>5</v>
      </c>
      <c r="E24">
        <v>5</v>
      </c>
      <c r="F24">
        <v>5</v>
      </c>
      <c r="G24">
        <v>5</v>
      </c>
      <c r="H24">
        <v>0.73631284916201101</v>
      </c>
      <c r="I24">
        <v>0.82374999999999998</v>
      </c>
      <c r="J24">
        <v>0.77758112094395204</v>
      </c>
      <c r="K24">
        <v>800</v>
      </c>
      <c r="L24">
        <v>0.8</v>
      </c>
      <c r="M24">
        <v>0.70499999999999996</v>
      </c>
      <c r="N24">
        <v>0.74950166112956795</v>
      </c>
      <c r="O24">
        <v>800</v>
      </c>
      <c r="P24">
        <v>0.76437500000000003</v>
      </c>
      <c r="Q24">
        <v>0.76815642458100497</v>
      </c>
      <c r="R24">
        <v>0.76437500000000003</v>
      </c>
      <c r="S24">
        <v>0.76354139103676</v>
      </c>
      <c r="T24">
        <v>0.76815642458100497</v>
      </c>
      <c r="U24">
        <v>0.76437500000000003</v>
      </c>
      <c r="V24">
        <v>0.76354139103676</v>
      </c>
      <c r="W24">
        <v>659</v>
      </c>
      <c r="X24">
        <v>141</v>
      </c>
      <c r="Y24">
        <v>236</v>
      </c>
      <c r="Z24">
        <v>564</v>
      </c>
      <c r="AA24">
        <v>0.76437500000000003</v>
      </c>
      <c r="AB24">
        <v>0.71150000000000002</v>
      </c>
    </row>
    <row r="25" spans="1:28" x14ac:dyDescent="0.25">
      <c r="A25">
        <v>24</v>
      </c>
      <c r="B25" t="s">
        <v>28</v>
      </c>
      <c r="C25">
        <v>300</v>
      </c>
      <c r="D25">
        <v>5</v>
      </c>
      <c r="E25">
        <v>7</v>
      </c>
      <c r="F25">
        <v>5</v>
      </c>
      <c r="G25">
        <v>5</v>
      </c>
      <c r="H25">
        <v>0.67510121457489802</v>
      </c>
      <c r="I25">
        <v>0.83374999999999999</v>
      </c>
      <c r="J25">
        <v>0.74608501118568205</v>
      </c>
      <c r="K25">
        <v>800</v>
      </c>
      <c r="L25">
        <v>0.78267973856209105</v>
      </c>
      <c r="M25">
        <v>0.59875</v>
      </c>
      <c r="N25">
        <v>0.67847025495750701</v>
      </c>
      <c r="O25">
        <v>800</v>
      </c>
      <c r="P25">
        <v>0.71625000000000005</v>
      </c>
      <c r="Q25">
        <v>0.72889047656849504</v>
      </c>
      <c r="R25">
        <v>0.71625000000000005</v>
      </c>
      <c r="S25">
        <v>0.71227763307159397</v>
      </c>
      <c r="T25">
        <v>0.72889047656849504</v>
      </c>
      <c r="U25">
        <v>0.71625000000000005</v>
      </c>
      <c r="V25">
        <v>0.71227763307159397</v>
      </c>
      <c r="W25">
        <v>667</v>
      </c>
      <c r="X25">
        <v>133</v>
      </c>
      <c r="Y25">
        <v>321</v>
      </c>
      <c r="Z25">
        <v>479</v>
      </c>
      <c r="AA25">
        <v>0.71624999999999905</v>
      </c>
      <c r="AB25">
        <v>0.66925449346405197</v>
      </c>
    </row>
    <row r="26" spans="1:28" x14ac:dyDescent="0.25">
      <c r="A26">
        <v>25</v>
      </c>
      <c r="B26" t="s">
        <v>28</v>
      </c>
      <c r="C26">
        <v>500</v>
      </c>
      <c r="D26">
        <v>5</v>
      </c>
      <c r="E26">
        <v>3</v>
      </c>
      <c r="F26">
        <v>5</v>
      </c>
      <c r="G26">
        <v>5</v>
      </c>
      <c r="H26">
        <v>0.68331562167906401</v>
      </c>
      <c r="I26">
        <v>0.80374999999999996</v>
      </c>
      <c r="J26">
        <v>0.73865594485927599</v>
      </c>
      <c r="K26">
        <v>800</v>
      </c>
      <c r="L26">
        <v>0.76176024279210897</v>
      </c>
      <c r="M26">
        <v>0.62749999999999995</v>
      </c>
      <c r="N26">
        <v>0.68814256339958801</v>
      </c>
      <c r="O26">
        <v>800</v>
      </c>
      <c r="P26">
        <v>0.71562499999999996</v>
      </c>
      <c r="Q26">
        <v>0.72253793223558704</v>
      </c>
      <c r="R26">
        <v>0.71562499999999996</v>
      </c>
      <c r="S26">
        <v>0.71339925412943195</v>
      </c>
      <c r="T26">
        <v>0.72253793223558704</v>
      </c>
      <c r="U26">
        <v>0.71562499999999996</v>
      </c>
      <c r="V26">
        <v>0.71339925412943195</v>
      </c>
      <c r="W26">
        <v>643</v>
      </c>
      <c r="X26">
        <v>157</v>
      </c>
      <c r="Y26">
        <v>298</v>
      </c>
      <c r="Z26">
        <v>502</v>
      </c>
      <c r="AA26">
        <v>0.71562499999999996</v>
      </c>
      <c r="AB26">
        <v>0.664254552352048</v>
      </c>
    </row>
    <row r="27" spans="1:28" x14ac:dyDescent="0.25">
      <c r="A27">
        <v>26</v>
      </c>
      <c r="B27" t="s">
        <v>28</v>
      </c>
      <c r="C27">
        <v>500</v>
      </c>
      <c r="D27">
        <v>5</v>
      </c>
      <c r="E27">
        <v>5</v>
      </c>
      <c r="F27">
        <v>5</v>
      </c>
      <c r="G27">
        <v>5</v>
      </c>
      <c r="H27">
        <v>0.74197120708748598</v>
      </c>
      <c r="I27">
        <v>0.83750000000000002</v>
      </c>
      <c r="J27">
        <v>0.78684674104521402</v>
      </c>
      <c r="K27">
        <v>800</v>
      </c>
      <c r="L27">
        <v>0.81348637015781899</v>
      </c>
      <c r="M27">
        <v>0.70874999999999999</v>
      </c>
      <c r="N27">
        <v>0.75751503006012</v>
      </c>
      <c r="O27">
        <v>800</v>
      </c>
      <c r="P27">
        <v>0.77312499999999995</v>
      </c>
      <c r="Q27">
        <v>0.77772878862265205</v>
      </c>
      <c r="R27">
        <v>0.77312499999999995</v>
      </c>
      <c r="S27">
        <v>0.77218088555266695</v>
      </c>
      <c r="T27">
        <v>0.77772878862265205</v>
      </c>
      <c r="U27">
        <v>0.77312499999999995</v>
      </c>
      <c r="V27">
        <v>0.77218088555266695</v>
      </c>
      <c r="W27">
        <v>670</v>
      </c>
      <c r="X27">
        <v>130</v>
      </c>
      <c r="Y27">
        <v>233</v>
      </c>
      <c r="Z27">
        <v>567</v>
      </c>
      <c r="AA27">
        <v>0.77312499999999995</v>
      </c>
      <c r="AB27">
        <v>0.72218346484935403</v>
      </c>
    </row>
    <row r="28" spans="1:28" x14ac:dyDescent="0.25">
      <c r="A28">
        <v>27</v>
      </c>
      <c r="B28" t="s">
        <v>28</v>
      </c>
      <c r="C28">
        <v>500</v>
      </c>
      <c r="D28">
        <v>5</v>
      </c>
      <c r="E28">
        <v>7</v>
      </c>
      <c r="F28">
        <v>5</v>
      </c>
      <c r="G28">
        <v>5</v>
      </c>
      <c r="H28">
        <v>0.68442622950819598</v>
      </c>
      <c r="I28">
        <v>0.83499999999999996</v>
      </c>
      <c r="J28">
        <v>0.75225225225225201</v>
      </c>
      <c r="K28">
        <v>800</v>
      </c>
      <c r="L28">
        <v>0.78846153846153799</v>
      </c>
      <c r="M28">
        <v>0.61499999999999999</v>
      </c>
      <c r="N28">
        <v>0.69101123595505598</v>
      </c>
      <c r="O28">
        <v>800</v>
      </c>
      <c r="P28">
        <v>0.72499999999999998</v>
      </c>
      <c r="Q28">
        <v>0.73644388398486704</v>
      </c>
      <c r="R28">
        <v>0.72499999999999998</v>
      </c>
      <c r="S28">
        <v>0.72163174410365405</v>
      </c>
      <c r="T28">
        <v>0.73644388398486704</v>
      </c>
      <c r="U28">
        <v>0.72499999999999998</v>
      </c>
      <c r="V28">
        <v>0.72163174410365405</v>
      </c>
      <c r="W28">
        <v>668</v>
      </c>
      <c r="X28">
        <v>132</v>
      </c>
      <c r="Y28">
        <v>308</v>
      </c>
      <c r="Z28">
        <v>492</v>
      </c>
      <c r="AA28">
        <v>0.72499999999999998</v>
      </c>
      <c r="AB28">
        <v>0.67740384615384597</v>
      </c>
    </row>
    <row r="29" spans="1:28" x14ac:dyDescent="0.25">
      <c r="A29">
        <v>28</v>
      </c>
      <c r="B29" t="s">
        <v>28</v>
      </c>
      <c r="C29">
        <v>100</v>
      </c>
      <c r="D29">
        <v>7</v>
      </c>
      <c r="E29">
        <v>3</v>
      </c>
      <c r="F29">
        <v>5</v>
      </c>
      <c r="G29">
        <v>5</v>
      </c>
      <c r="H29">
        <v>0.52971576227390105</v>
      </c>
      <c r="I29">
        <v>0.76875000000000004</v>
      </c>
      <c r="J29">
        <v>0.62723100458949499</v>
      </c>
      <c r="K29">
        <v>800</v>
      </c>
      <c r="L29">
        <v>0.57858769931662801</v>
      </c>
      <c r="M29">
        <v>0.3175</v>
      </c>
      <c r="N29">
        <v>0.41000807102502002</v>
      </c>
      <c r="O29">
        <v>800</v>
      </c>
      <c r="P29">
        <v>0.54312499999999997</v>
      </c>
      <c r="Q29">
        <v>0.55415173079526503</v>
      </c>
      <c r="R29">
        <v>0.54312499999999997</v>
      </c>
      <c r="S29">
        <v>0.518619537807257</v>
      </c>
      <c r="T29">
        <v>0.55415173079526503</v>
      </c>
      <c r="U29">
        <v>0.54312499999999997</v>
      </c>
      <c r="V29">
        <v>0.518619537807257</v>
      </c>
      <c r="W29">
        <v>615</v>
      </c>
      <c r="X29">
        <v>185</v>
      </c>
      <c r="Y29">
        <v>546</v>
      </c>
      <c r="Z29">
        <v>254</v>
      </c>
      <c r="AA29">
        <v>0.54312499999999997</v>
      </c>
      <c r="AB29">
        <v>0.52495159453302898</v>
      </c>
    </row>
    <row r="30" spans="1:28" x14ac:dyDescent="0.25">
      <c r="A30">
        <v>29</v>
      </c>
      <c r="B30" t="s">
        <v>28</v>
      </c>
      <c r="C30">
        <v>100</v>
      </c>
      <c r="D30">
        <v>7</v>
      </c>
      <c r="E30">
        <v>5</v>
      </c>
      <c r="F30">
        <v>5</v>
      </c>
      <c r="G30">
        <v>5</v>
      </c>
      <c r="H30">
        <v>0.73151308304891904</v>
      </c>
      <c r="I30">
        <v>0.80374999999999996</v>
      </c>
      <c r="J30">
        <v>0.765932102441929</v>
      </c>
      <c r="K30">
        <v>800</v>
      </c>
      <c r="L30">
        <v>0.78224687933425796</v>
      </c>
      <c r="M30">
        <v>0.70499999999999996</v>
      </c>
      <c r="N30">
        <v>0.74161735700197196</v>
      </c>
      <c r="O30">
        <v>800</v>
      </c>
      <c r="P30">
        <v>0.75437500000000002</v>
      </c>
      <c r="Q30">
        <v>0.75687998119158795</v>
      </c>
      <c r="R30">
        <v>0.75437500000000002</v>
      </c>
      <c r="S30">
        <v>0.75377472972195103</v>
      </c>
      <c r="T30">
        <v>0.75687998119158795</v>
      </c>
      <c r="U30">
        <v>0.75437500000000002</v>
      </c>
      <c r="V30">
        <v>0.75377472972195003</v>
      </c>
      <c r="W30">
        <v>643</v>
      </c>
      <c r="X30">
        <v>157</v>
      </c>
      <c r="Y30">
        <v>236</v>
      </c>
      <c r="Z30">
        <v>564</v>
      </c>
      <c r="AA30">
        <v>0.75437500000000002</v>
      </c>
      <c r="AB30">
        <v>0.698984049930651</v>
      </c>
    </row>
    <row r="31" spans="1:28" x14ac:dyDescent="0.25">
      <c r="A31">
        <v>30</v>
      </c>
      <c r="B31" t="s">
        <v>28</v>
      </c>
      <c r="C31">
        <v>100</v>
      </c>
      <c r="D31">
        <v>7</v>
      </c>
      <c r="E31">
        <v>7</v>
      </c>
      <c r="F31">
        <v>5</v>
      </c>
      <c r="G31">
        <v>5</v>
      </c>
      <c r="H31">
        <v>0.68082901554404096</v>
      </c>
      <c r="I31">
        <v>0.82125000000000004</v>
      </c>
      <c r="J31">
        <v>0.74447592067988599</v>
      </c>
      <c r="K31">
        <v>800</v>
      </c>
      <c r="L31">
        <v>0.77480314960629904</v>
      </c>
      <c r="M31">
        <v>0.61499999999999999</v>
      </c>
      <c r="N31">
        <v>0.68571428571428505</v>
      </c>
      <c r="O31">
        <v>800</v>
      </c>
      <c r="P31">
        <v>0.71812500000000001</v>
      </c>
      <c r="Q31">
        <v>0.72781608257517005</v>
      </c>
      <c r="R31">
        <v>0.71812500000000001</v>
      </c>
      <c r="S31">
        <v>0.71509510319708602</v>
      </c>
      <c r="T31">
        <v>0.72781608257517005</v>
      </c>
      <c r="U31">
        <v>0.71812500000000001</v>
      </c>
      <c r="V31">
        <v>0.71509510319708602</v>
      </c>
      <c r="W31">
        <v>657</v>
      </c>
      <c r="X31">
        <v>143</v>
      </c>
      <c r="Y31">
        <v>308</v>
      </c>
      <c r="Z31">
        <v>492</v>
      </c>
      <c r="AA31">
        <v>0.71812500000000001</v>
      </c>
      <c r="AB31">
        <v>0.66900393700787397</v>
      </c>
    </row>
    <row r="32" spans="1:28" x14ac:dyDescent="0.25">
      <c r="A32">
        <v>31</v>
      </c>
      <c r="B32" t="s">
        <v>28</v>
      </c>
      <c r="C32">
        <v>300</v>
      </c>
      <c r="D32">
        <v>7</v>
      </c>
      <c r="E32">
        <v>3</v>
      </c>
      <c r="F32">
        <v>5</v>
      </c>
      <c r="G32">
        <v>5</v>
      </c>
      <c r="H32">
        <v>0.67713976164680301</v>
      </c>
      <c r="I32">
        <v>0.78125</v>
      </c>
      <c r="J32">
        <v>0.725478816018572</v>
      </c>
      <c r="K32">
        <v>800</v>
      </c>
      <c r="L32">
        <v>0.74150664697193502</v>
      </c>
      <c r="M32">
        <v>0.62749999999999995</v>
      </c>
      <c r="N32">
        <v>0.67975626269465095</v>
      </c>
      <c r="O32">
        <v>800</v>
      </c>
      <c r="P32">
        <v>0.70437499999999997</v>
      </c>
      <c r="Q32">
        <v>0.70932320430936902</v>
      </c>
      <c r="R32">
        <v>0.70437499999999997</v>
      </c>
      <c r="S32">
        <v>0.70261753935661098</v>
      </c>
      <c r="T32">
        <v>0.70932320430936902</v>
      </c>
      <c r="U32">
        <v>0.70437499999999997</v>
      </c>
      <c r="V32">
        <v>0.70261753935661098</v>
      </c>
      <c r="W32">
        <v>625</v>
      </c>
      <c r="X32">
        <v>175</v>
      </c>
      <c r="Y32">
        <v>298</v>
      </c>
      <c r="Z32">
        <v>502</v>
      </c>
      <c r="AA32">
        <v>0.70437499999999997</v>
      </c>
      <c r="AB32">
        <v>0.65154542097488899</v>
      </c>
    </row>
    <row r="33" spans="1:28" x14ac:dyDescent="0.25">
      <c r="A33">
        <v>32</v>
      </c>
      <c r="B33" t="s">
        <v>28</v>
      </c>
      <c r="C33">
        <v>300</v>
      </c>
      <c r="D33">
        <v>7</v>
      </c>
      <c r="E33">
        <v>5</v>
      </c>
      <c r="F33">
        <v>5</v>
      </c>
      <c r="G33">
        <v>5</v>
      </c>
      <c r="H33">
        <v>0.72268907563025198</v>
      </c>
      <c r="I33">
        <v>0.86</v>
      </c>
      <c r="J33">
        <v>0.78538812785388101</v>
      </c>
      <c r="K33">
        <v>800</v>
      </c>
      <c r="L33">
        <v>0.82716049382715995</v>
      </c>
      <c r="M33">
        <v>0.67</v>
      </c>
      <c r="N33">
        <v>0.74033149171270696</v>
      </c>
      <c r="O33">
        <v>800</v>
      </c>
      <c r="P33">
        <v>0.76500000000000001</v>
      </c>
      <c r="Q33">
        <v>0.77492478472870596</v>
      </c>
      <c r="R33">
        <v>0.76500000000000001</v>
      </c>
      <c r="S33">
        <v>0.76285980978329404</v>
      </c>
      <c r="T33">
        <v>0.77492478472870596</v>
      </c>
      <c r="U33">
        <v>0.76500000000000001</v>
      </c>
      <c r="V33">
        <v>0.76285980978329404</v>
      </c>
      <c r="W33">
        <v>688</v>
      </c>
      <c r="X33">
        <v>112</v>
      </c>
      <c r="Y33">
        <v>264</v>
      </c>
      <c r="Z33">
        <v>536</v>
      </c>
      <c r="AA33">
        <v>0.76500000000000001</v>
      </c>
      <c r="AB33">
        <v>0.71919753086419702</v>
      </c>
    </row>
    <row r="34" spans="1:28" x14ac:dyDescent="0.25">
      <c r="A34">
        <v>33</v>
      </c>
      <c r="B34" t="s">
        <v>28</v>
      </c>
      <c r="C34">
        <v>300</v>
      </c>
      <c r="D34">
        <v>7</v>
      </c>
      <c r="E34">
        <v>7</v>
      </c>
      <c r="F34">
        <v>5</v>
      </c>
      <c r="G34">
        <v>5</v>
      </c>
      <c r="H34">
        <v>0.67738693467336597</v>
      </c>
      <c r="I34">
        <v>0.84250000000000003</v>
      </c>
      <c r="J34">
        <v>0.75097493036211704</v>
      </c>
      <c r="K34">
        <v>800</v>
      </c>
      <c r="L34">
        <v>0.79173553719008205</v>
      </c>
      <c r="M34">
        <v>0.59875</v>
      </c>
      <c r="N34">
        <v>0.68185053380782901</v>
      </c>
      <c r="O34">
        <v>800</v>
      </c>
      <c r="P34">
        <v>0.72062499999999996</v>
      </c>
      <c r="Q34">
        <v>0.73456123593172395</v>
      </c>
      <c r="R34">
        <v>0.72062499999999996</v>
      </c>
      <c r="S34">
        <v>0.71641273208497303</v>
      </c>
      <c r="T34">
        <v>0.73456123593172395</v>
      </c>
      <c r="U34">
        <v>0.72062499999999996</v>
      </c>
      <c r="V34">
        <v>0.71641273208497303</v>
      </c>
      <c r="W34">
        <v>674</v>
      </c>
      <c r="X34">
        <v>126</v>
      </c>
      <c r="Y34">
        <v>321</v>
      </c>
      <c r="Z34">
        <v>479</v>
      </c>
      <c r="AA34">
        <v>0.72062499999999996</v>
      </c>
      <c r="AB34">
        <v>0.67467665289256196</v>
      </c>
    </row>
    <row r="35" spans="1:28" x14ac:dyDescent="0.25">
      <c r="A35">
        <v>34</v>
      </c>
      <c r="B35" t="s">
        <v>28</v>
      </c>
      <c r="C35">
        <v>500</v>
      </c>
      <c r="D35">
        <v>7</v>
      </c>
      <c r="E35">
        <v>3</v>
      </c>
      <c r="F35">
        <v>5</v>
      </c>
      <c r="G35">
        <v>5</v>
      </c>
      <c r="H35">
        <v>0.69055036344755905</v>
      </c>
      <c r="I35">
        <v>0.83125000000000004</v>
      </c>
      <c r="J35">
        <v>0.75439591605218304</v>
      </c>
      <c r="K35">
        <v>800</v>
      </c>
      <c r="L35">
        <v>0.788069073783359</v>
      </c>
      <c r="M35">
        <v>0.62749999999999995</v>
      </c>
      <c r="N35">
        <v>0.69867780097425103</v>
      </c>
      <c r="O35">
        <v>800</v>
      </c>
      <c r="P35">
        <v>0.729375</v>
      </c>
      <c r="Q35">
        <v>0.73930971861545902</v>
      </c>
      <c r="R35">
        <v>0.729375</v>
      </c>
      <c r="S35">
        <v>0.72653685851321703</v>
      </c>
      <c r="T35">
        <v>0.73930971861545902</v>
      </c>
      <c r="U35">
        <v>0.729375</v>
      </c>
      <c r="V35">
        <v>0.72653685851321703</v>
      </c>
      <c r="W35">
        <v>665</v>
      </c>
      <c r="X35">
        <v>135</v>
      </c>
      <c r="Y35">
        <v>298</v>
      </c>
      <c r="Z35">
        <v>502</v>
      </c>
      <c r="AA35">
        <v>0.729375</v>
      </c>
      <c r="AB35">
        <v>0.68076334379905801</v>
      </c>
    </row>
    <row r="36" spans="1:28" x14ac:dyDescent="0.25">
      <c r="A36">
        <v>35</v>
      </c>
      <c r="B36" t="s">
        <v>28</v>
      </c>
      <c r="C36">
        <v>500</v>
      </c>
      <c r="D36">
        <v>7</v>
      </c>
      <c r="E36">
        <v>5</v>
      </c>
      <c r="F36">
        <v>5</v>
      </c>
      <c r="G36">
        <v>5</v>
      </c>
      <c r="H36">
        <v>0.68982880161127802</v>
      </c>
      <c r="I36">
        <v>0.85624999999999996</v>
      </c>
      <c r="J36">
        <v>0.76408254322364699</v>
      </c>
      <c r="K36">
        <v>800</v>
      </c>
      <c r="L36">
        <v>0.81054365733113598</v>
      </c>
      <c r="M36">
        <v>0.61499999999999999</v>
      </c>
      <c r="N36">
        <v>0.69936034115138501</v>
      </c>
      <c r="O36">
        <v>800</v>
      </c>
      <c r="P36">
        <v>0.73562499999999997</v>
      </c>
      <c r="Q36">
        <v>0.75018622947120694</v>
      </c>
      <c r="R36">
        <v>0.73562499999999997</v>
      </c>
      <c r="S36">
        <v>0.731721442187516</v>
      </c>
      <c r="T36">
        <v>0.75018622947120694</v>
      </c>
      <c r="U36">
        <v>0.73562499999999997</v>
      </c>
      <c r="V36">
        <v>0.731721442187516</v>
      </c>
      <c r="W36">
        <v>685</v>
      </c>
      <c r="X36">
        <v>115</v>
      </c>
      <c r="Y36">
        <v>308</v>
      </c>
      <c r="Z36">
        <v>492</v>
      </c>
      <c r="AA36">
        <v>0.73562499999999997</v>
      </c>
      <c r="AB36">
        <v>0.69098434925864904</v>
      </c>
    </row>
    <row r="37" spans="1:28" x14ac:dyDescent="0.25">
      <c r="A37">
        <v>36</v>
      </c>
      <c r="B37" t="s">
        <v>28</v>
      </c>
      <c r="C37">
        <v>500</v>
      </c>
      <c r="D37">
        <v>7</v>
      </c>
      <c r="E37">
        <v>7</v>
      </c>
      <c r="F37">
        <v>5</v>
      </c>
      <c r="G37">
        <v>5</v>
      </c>
      <c r="H37">
        <v>0.68324873096446703</v>
      </c>
      <c r="I37">
        <v>0.84125000000000005</v>
      </c>
      <c r="J37">
        <v>0.75406162464986004</v>
      </c>
      <c r="K37">
        <v>800</v>
      </c>
      <c r="L37">
        <v>0.793495934959349</v>
      </c>
      <c r="M37">
        <v>0.61</v>
      </c>
      <c r="N37">
        <v>0.68975265017667797</v>
      </c>
      <c r="O37">
        <v>800</v>
      </c>
      <c r="P37">
        <v>0.72562499999999996</v>
      </c>
      <c r="Q37">
        <v>0.73837233296190796</v>
      </c>
      <c r="R37">
        <v>0.72562499999999996</v>
      </c>
      <c r="S37">
        <v>0.72190713741326895</v>
      </c>
      <c r="T37">
        <v>0.73837233296190796</v>
      </c>
      <c r="U37">
        <v>0.72562499999999996</v>
      </c>
      <c r="V37">
        <v>0.72190713741326895</v>
      </c>
      <c r="W37">
        <v>673</v>
      </c>
      <c r="X37">
        <v>127</v>
      </c>
      <c r="Y37">
        <v>312</v>
      </c>
      <c r="Z37">
        <v>488</v>
      </c>
      <c r="AA37">
        <v>0.72562499999999996</v>
      </c>
      <c r="AB37">
        <v>0.679032520325203</v>
      </c>
    </row>
    <row r="38" spans="1:28" x14ac:dyDescent="0.25">
      <c r="A38">
        <v>37</v>
      </c>
      <c r="B38" t="s">
        <v>28</v>
      </c>
      <c r="C38">
        <v>100</v>
      </c>
      <c r="D38">
        <v>13</v>
      </c>
      <c r="E38">
        <v>3</v>
      </c>
      <c r="F38">
        <v>5</v>
      </c>
      <c r="G38">
        <v>5</v>
      </c>
      <c r="H38">
        <v>0.52658227848101202</v>
      </c>
      <c r="I38">
        <v>0.78</v>
      </c>
      <c r="J38">
        <v>0.62871536523929406</v>
      </c>
      <c r="K38">
        <v>800</v>
      </c>
      <c r="L38">
        <v>0.575903614457831</v>
      </c>
      <c r="M38">
        <v>0.29875000000000002</v>
      </c>
      <c r="N38">
        <v>0.39341563786008199</v>
      </c>
      <c r="O38">
        <v>800</v>
      </c>
      <c r="P38">
        <v>0.53937500000000005</v>
      </c>
      <c r="Q38">
        <v>0.55124294646942196</v>
      </c>
      <c r="R38">
        <v>0.53937500000000005</v>
      </c>
      <c r="S38">
        <v>0.51106550154968799</v>
      </c>
      <c r="T38">
        <v>0.55124294646942196</v>
      </c>
      <c r="U38">
        <v>0.53937500000000005</v>
      </c>
      <c r="V38">
        <v>0.51106550154968799</v>
      </c>
      <c r="W38">
        <v>624</v>
      </c>
      <c r="X38">
        <v>176</v>
      </c>
      <c r="Y38">
        <v>561</v>
      </c>
      <c r="Z38">
        <v>239</v>
      </c>
      <c r="AA38">
        <v>0.53937500000000005</v>
      </c>
      <c r="AB38">
        <v>0.52267620481927701</v>
      </c>
    </row>
    <row r="39" spans="1:28" x14ac:dyDescent="0.25">
      <c r="A39">
        <v>38</v>
      </c>
      <c r="B39" t="s">
        <v>28</v>
      </c>
      <c r="C39">
        <v>100</v>
      </c>
      <c r="D39">
        <v>13</v>
      </c>
      <c r="E39">
        <v>5</v>
      </c>
      <c r="F39">
        <v>5</v>
      </c>
      <c r="G39">
        <v>5</v>
      </c>
      <c r="H39">
        <v>0.540585774058577</v>
      </c>
      <c r="I39">
        <v>0.8075</v>
      </c>
      <c r="J39">
        <v>0.64761904761904698</v>
      </c>
      <c r="K39">
        <v>800</v>
      </c>
      <c r="L39">
        <v>0.61975308641975302</v>
      </c>
      <c r="M39">
        <v>0.31374999999999997</v>
      </c>
      <c r="N39">
        <v>0.416597510373443</v>
      </c>
      <c r="O39">
        <v>800</v>
      </c>
      <c r="P39">
        <v>0.56062500000000004</v>
      </c>
      <c r="Q39">
        <v>0.58016943023916501</v>
      </c>
      <c r="R39">
        <v>0.56062499999999904</v>
      </c>
      <c r="S39">
        <v>0.53210827899624502</v>
      </c>
      <c r="T39">
        <v>0.58016943023916501</v>
      </c>
      <c r="U39">
        <v>0.56062500000000004</v>
      </c>
      <c r="V39">
        <v>0.53210827899624502</v>
      </c>
      <c r="W39">
        <v>646</v>
      </c>
      <c r="X39">
        <v>154</v>
      </c>
      <c r="Y39">
        <v>549</v>
      </c>
      <c r="Z39">
        <v>251</v>
      </c>
      <c r="AA39">
        <v>0.56062499999999904</v>
      </c>
      <c r="AB39">
        <v>0.53757253086419698</v>
      </c>
    </row>
    <row r="40" spans="1:28" x14ac:dyDescent="0.25">
      <c r="A40">
        <v>39</v>
      </c>
      <c r="B40" t="s">
        <v>28</v>
      </c>
      <c r="C40">
        <v>100</v>
      </c>
      <c r="D40">
        <v>13</v>
      </c>
      <c r="E40">
        <v>7</v>
      </c>
      <c r="F40">
        <v>5</v>
      </c>
      <c r="G40">
        <v>5</v>
      </c>
      <c r="H40">
        <v>0.672782874617737</v>
      </c>
      <c r="I40">
        <v>0.82499999999999996</v>
      </c>
      <c r="J40">
        <v>0.74115665356541205</v>
      </c>
      <c r="K40">
        <v>800</v>
      </c>
      <c r="L40">
        <v>0.77382875605815804</v>
      </c>
      <c r="M40">
        <v>0.59875</v>
      </c>
      <c r="N40">
        <v>0.67512332628611704</v>
      </c>
      <c r="O40">
        <v>800</v>
      </c>
      <c r="P40">
        <v>0.71187500000000004</v>
      </c>
      <c r="Q40">
        <v>0.72330581533794702</v>
      </c>
      <c r="R40">
        <v>0.71187500000000004</v>
      </c>
      <c r="S40">
        <v>0.70813998992576399</v>
      </c>
      <c r="T40">
        <v>0.72330581533794702</v>
      </c>
      <c r="U40">
        <v>0.71187500000000004</v>
      </c>
      <c r="V40">
        <v>0.70813998992576399</v>
      </c>
      <c r="W40">
        <v>660</v>
      </c>
      <c r="X40">
        <v>140</v>
      </c>
      <c r="Y40">
        <v>321</v>
      </c>
      <c r="Z40">
        <v>479</v>
      </c>
      <c r="AA40">
        <v>0.71187499999999904</v>
      </c>
      <c r="AB40">
        <v>0.66395496768982198</v>
      </c>
    </row>
    <row r="41" spans="1:28" x14ac:dyDescent="0.25">
      <c r="A41">
        <v>40</v>
      </c>
      <c r="B41" t="s">
        <v>28</v>
      </c>
      <c r="C41">
        <v>300</v>
      </c>
      <c r="D41">
        <v>13</v>
      </c>
      <c r="E41">
        <v>3</v>
      </c>
      <c r="F41">
        <v>5</v>
      </c>
      <c r="G41">
        <v>5</v>
      </c>
      <c r="H41">
        <v>0.47930283224400799</v>
      </c>
      <c r="I41">
        <v>0.82499999999999996</v>
      </c>
      <c r="J41">
        <v>0.60633899862195595</v>
      </c>
      <c r="K41">
        <v>800</v>
      </c>
      <c r="L41">
        <v>0.37219730941703999</v>
      </c>
      <c r="M41">
        <v>0.10375</v>
      </c>
      <c r="N41">
        <v>0.16226783968719399</v>
      </c>
      <c r="O41">
        <v>800</v>
      </c>
      <c r="P41">
        <v>0.46437499999999998</v>
      </c>
      <c r="Q41">
        <v>0.42575007083052402</v>
      </c>
      <c r="R41">
        <v>0.46437499999999998</v>
      </c>
      <c r="S41">
        <v>0.384303419154575</v>
      </c>
      <c r="T41">
        <v>0.42575007083052402</v>
      </c>
      <c r="U41">
        <v>0.46437499999999998</v>
      </c>
      <c r="V41">
        <v>0.384303419154575</v>
      </c>
      <c r="W41">
        <v>660</v>
      </c>
      <c r="X41">
        <v>140</v>
      </c>
      <c r="Y41">
        <v>717</v>
      </c>
      <c r="Z41">
        <v>83</v>
      </c>
      <c r="AA41">
        <v>0.46437499999999998</v>
      </c>
      <c r="AB41">
        <v>0.48674047085201699</v>
      </c>
    </row>
    <row r="42" spans="1:28" x14ac:dyDescent="0.25">
      <c r="A42">
        <v>41</v>
      </c>
      <c r="B42" t="s">
        <v>28</v>
      </c>
      <c r="C42">
        <v>300</v>
      </c>
      <c r="D42">
        <v>13</v>
      </c>
      <c r="E42">
        <v>5</v>
      </c>
      <c r="F42">
        <v>5</v>
      </c>
      <c r="G42">
        <v>5</v>
      </c>
      <c r="H42">
        <v>0.69146825396825395</v>
      </c>
      <c r="I42">
        <v>0.87124999999999997</v>
      </c>
      <c r="J42">
        <v>0.77101769911504403</v>
      </c>
      <c r="K42">
        <v>800</v>
      </c>
      <c r="L42">
        <v>0.82601351351351304</v>
      </c>
      <c r="M42">
        <v>0.61124999999999996</v>
      </c>
      <c r="N42">
        <v>0.70258620689655105</v>
      </c>
      <c r="O42">
        <v>800</v>
      </c>
      <c r="P42">
        <v>0.74124999999999996</v>
      </c>
      <c r="Q42">
        <v>0.758740883740883</v>
      </c>
      <c r="R42">
        <v>0.74124999999999996</v>
      </c>
      <c r="S42">
        <v>0.73680195300579798</v>
      </c>
      <c r="T42">
        <v>0.758740883740883</v>
      </c>
      <c r="U42">
        <v>0.74124999999999996</v>
      </c>
      <c r="V42">
        <v>0.73680195300579798</v>
      </c>
      <c r="W42">
        <v>697</v>
      </c>
      <c r="X42">
        <v>103</v>
      </c>
      <c r="Y42">
        <v>311</v>
      </c>
      <c r="Z42">
        <v>489</v>
      </c>
      <c r="AA42">
        <v>0.74124999999999996</v>
      </c>
      <c r="AB42">
        <v>0.69927576013513504</v>
      </c>
    </row>
    <row r="43" spans="1:28" x14ac:dyDescent="0.25">
      <c r="A43">
        <v>42</v>
      </c>
      <c r="B43" t="s">
        <v>28</v>
      </c>
      <c r="C43">
        <v>300</v>
      </c>
      <c r="D43">
        <v>13</v>
      </c>
      <c r="E43">
        <v>7</v>
      </c>
      <c r="F43">
        <v>5</v>
      </c>
      <c r="G43">
        <v>5</v>
      </c>
      <c r="H43">
        <v>0.47300944669365702</v>
      </c>
      <c r="I43">
        <v>0.87624999999999997</v>
      </c>
      <c r="J43">
        <v>0.61437335670464499</v>
      </c>
      <c r="K43">
        <v>800</v>
      </c>
      <c r="L43">
        <v>0.161016949152542</v>
      </c>
      <c r="M43">
        <v>2.375E-2</v>
      </c>
      <c r="N43">
        <v>4.1394335511982502E-2</v>
      </c>
      <c r="O43">
        <v>800</v>
      </c>
      <c r="P43">
        <v>0.45</v>
      </c>
      <c r="Q43">
        <v>0.31701319792309901</v>
      </c>
      <c r="R43">
        <v>0.45</v>
      </c>
      <c r="S43">
        <v>0.327883846108313</v>
      </c>
      <c r="T43">
        <v>0.31701319792309901</v>
      </c>
      <c r="U43">
        <v>0.45</v>
      </c>
      <c r="V43">
        <v>0.327883846108313</v>
      </c>
      <c r="W43">
        <v>701</v>
      </c>
      <c r="X43">
        <v>99</v>
      </c>
      <c r="Y43">
        <v>781</v>
      </c>
      <c r="Z43">
        <v>19</v>
      </c>
      <c r="AA43">
        <v>0.44999999999999901</v>
      </c>
      <c r="AB43">
        <v>0.49194915254237198</v>
      </c>
    </row>
    <row r="44" spans="1:28" x14ac:dyDescent="0.25">
      <c r="A44">
        <v>43</v>
      </c>
      <c r="B44" t="s">
        <v>28</v>
      </c>
      <c r="C44">
        <v>500</v>
      </c>
      <c r="D44">
        <v>13</v>
      </c>
      <c r="E44">
        <v>3</v>
      </c>
      <c r="F44">
        <v>5</v>
      </c>
      <c r="G44">
        <v>5</v>
      </c>
      <c r="H44">
        <v>0.47319034852546898</v>
      </c>
      <c r="I44">
        <v>0.88249999999999995</v>
      </c>
      <c r="J44">
        <v>0.61605584642233802</v>
      </c>
      <c r="K44">
        <v>800</v>
      </c>
      <c r="L44">
        <v>0.12962962962962901</v>
      </c>
      <c r="M44">
        <v>1.7500000000000002E-2</v>
      </c>
      <c r="N44">
        <v>3.0837004405286299E-2</v>
      </c>
      <c r="O44">
        <v>800</v>
      </c>
      <c r="P44">
        <v>0.45</v>
      </c>
      <c r="Q44">
        <v>0.30140998907754901</v>
      </c>
      <c r="R44">
        <v>0.44999999999999901</v>
      </c>
      <c r="S44">
        <v>0.32344642541381202</v>
      </c>
      <c r="T44">
        <v>0.30140998907754901</v>
      </c>
      <c r="U44">
        <v>0.45</v>
      </c>
      <c r="V44">
        <v>0.32344642541381202</v>
      </c>
      <c r="W44">
        <v>706</v>
      </c>
      <c r="X44">
        <v>94</v>
      </c>
      <c r="Y44">
        <v>786</v>
      </c>
      <c r="Z44">
        <v>14</v>
      </c>
      <c r="AA44">
        <v>0.45</v>
      </c>
      <c r="AB44">
        <v>0.49351851851851802</v>
      </c>
    </row>
    <row r="45" spans="1:28" x14ac:dyDescent="0.25">
      <c r="A45">
        <v>44</v>
      </c>
      <c r="B45" t="s">
        <v>28</v>
      </c>
      <c r="C45">
        <v>500</v>
      </c>
      <c r="D45">
        <v>13</v>
      </c>
      <c r="E45">
        <v>5</v>
      </c>
      <c r="F45">
        <v>5</v>
      </c>
      <c r="G45">
        <v>5</v>
      </c>
      <c r="H45">
        <v>0.69085487077534702</v>
      </c>
      <c r="I45">
        <v>0.86875000000000002</v>
      </c>
      <c r="J45">
        <v>0.769656699889258</v>
      </c>
      <c r="K45">
        <v>800</v>
      </c>
      <c r="L45">
        <v>0.82323232323232298</v>
      </c>
      <c r="M45">
        <v>0.61124999999999996</v>
      </c>
      <c r="N45">
        <v>0.70157819225250995</v>
      </c>
      <c r="O45">
        <v>800</v>
      </c>
      <c r="P45">
        <v>0.74</v>
      </c>
      <c r="Q45">
        <v>0.75704359700383494</v>
      </c>
      <c r="R45">
        <v>0.74</v>
      </c>
      <c r="S45">
        <v>0.73561744607088397</v>
      </c>
      <c r="T45">
        <v>0.75704359700383494</v>
      </c>
      <c r="U45">
        <v>0.74</v>
      </c>
      <c r="V45">
        <v>0.73561744607088397</v>
      </c>
      <c r="W45">
        <v>695</v>
      </c>
      <c r="X45">
        <v>105</v>
      </c>
      <c r="Y45">
        <v>311</v>
      </c>
      <c r="Z45">
        <v>489</v>
      </c>
      <c r="AA45">
        <v>0.74</v>
      </c>
      <c r="AB45">
        <v>0.69757575757575696</v>
      </c>
    </row>
    <row r="46" spans="1:28" x14ac:dyDescent="0.25">
      <c r="A46">
        <v>45</v>
      </c>
      <c r="B46" t="s">
        <v>28</v>
      </c>
      <c r="C46">
        <v>500</v>
      </c>
      <c r="D46">
        <v>13</v>
      </c>
      <c r="E46">
        <v>7</v>
      </c>
      <c r="F46">
        <v>5</v>
      </c>
      <c r="G46">
        <v>5</v>
      </c>
      <c r="H46">
        <v>0.60203217612193005</v>
      </c>
      <c r="I46">
        <v>0.88875000000000004</v>
      </c>
      <c r="J46">
        <v>0.71781928319030797</v>
      </c>
      <c r="K46">
        <v>800</v>
      </c>
      <c r="L46">
        <v>0.78758949880668205</v>
      </c>
      <c r="M46">
        <v>0.41249999999999998</v>
      </c>
      <c r="N46">
        <v>0.54142739950779295</v>
      </c>
      <c r="O46">
        <v>800</v>
      </c>
      <c r="P46">
        <v>0.65062500000000001</v>
      </c>
      <c r="Q46">
        <v>0.69481083746430605</v>
      </c>
      <c r="R46">
        <v>0.65062500000000001</v>
      </c>
      <c r="S46">
        <v>0.62962334134904996</v>
      </c>
      <c r="T46">
        <v>0.69481083746430605</v>
      </c>
      <c r="U46">
        <v>0.65062500000000001</v>
      </c>
      <c r="V46">
        <v>0.62962334134904996</v>
      </c>
      <c r="W46">
        <v>711</v>
      </c>
      <c r="X46">
        <v>89</v>
      </c>
      <c r="Y46">
        <v>470</v>
      </c>
      <c r="Z46">
        <v>330</v>
      </c>
      <c r="AA46">
        <v>0.65062500000000001</v>
      </c>
      <c r="AB46">
        <v>0.61863066825775603</v>
      </c>
    </row>
    <row r="47" spans="1:28" x14ac:dyDescent="0.25">
      <c r="A47">
        <v>46</v>
      </c>
      <c r="B47" t="s">
        <v>28</v>
      </c>
      <c r="C47">
        <v>100</v>
      </c>
      <c r="D47">
        <v>20</v>
      </c>
      <c r="E47">
        <v>3</v>
      </c>
      <c r="F47">
        <v>5</v>
      </c>
      <c r="G47">
        <v>5</v>
      </c>
      <c r="H47">
        <v>0.52658227848101202</v>
      </c>
      <c r="I47">
        <v>0.78</v>
      </c>
      <c r="J47">
        <v>0.62871536523929406</v>
      </c>
      <c r="K47">
        <v>800</v>
      </c>
      <c r="L47">
        <v>0.575903614457831</v>
      </c>
      <c r="M47">
        <v>0.29875000000000002</v>
      </c>
      <c r="N47">
        <v>0.39341563786008199</v>
      </c>
      <c r="O47">
        <v>800</v>
      </c>
      <c r="P47">
        <v>0.53937500000000005</v>
      </c>
      <c r="Q47">
        <v>0.55124294646942196</v>
      </c>
      <c r="R47">
        <v>0.53937500000000005</v>
      </c>
      <c r="S47">
        <v>0.51106550154968799</v>
      </c>
      <c r="T47">
        <v>0.55124294646942196</v>
      </c>
      <c r="U47">
        <v>0.53937500000000005</v>
      </c>
      <c r="V47">
        <v>0.51106550154968799</v>
      </c>
      <c r="W47">
        <v>624</v>
      </c>
      <c r="X47">
        <v>176</v>
      </c>
      <c r="Y47">
        <v>561</v>
      </c>
      <c r="Z47">
        <v>239</v>
      </c>
      <c r="AA47">
        <v>0.53937500000000005</v>
      </c>
      <c r="AB47">
        <v>0.52267620481927701</v>
      </c>
    </row>
    <row r="48" spans="1:28" x14ac:dyDescent="0.25">
      <c r="A48">
        <v>47</v>
      </c>
      <c r="B48" t="s">
        <v>28</v>
      </c>
      <c r="C48">
        <v>100</v>
      </c>
      <c r="D48">
        <v>20</v>
      </c>
      <c r="E48">
        <v>5</v>
      </c>
      <c r="F48">
        <v>5</v>
      </c>
      <c r="G48">
        <v>5</v>
      </c>
      <c r="H48">
        <v>0.53039999999999998</v>
      </c>
      <c r="I48">
        <v>0.82874999999999999</v>
      </c>
      <c r="J48">
        <v>0.64682926829268195</v>
      </c>
      <c r="K48">
        <v>800</v>
      </c>
      <c r="L48">
        <v>0.60857142857142799</v>
      </c>
      <c r="M48">
        <v>0.26624999999999999</v>
      </c>
      <c r="N48">
        <v>0.370434782608695</v>
      </c>
      <c r="O48">
        <v>800</v>
      </c>
      <c r="P48">
        <v>0.54749999999999999</v>
      </c>
      <c r="Q48">
        <v>0.56948571428571404</v>
      </c>
      <c r="R48">
        <v>0.54749999999999999</v>
      </c>
      <c r="S48">
        <v>0.50863202545068897</v>
      </c>
      <c r="T48">
        <v>0.56948571428571404</v>
      </c>
      <c r="U48">
        <v>0.54749999999999999</v>
      </c>
      <c r="V48">
        <v>0.50863202545068897</v>
      </c>
      <c r="W48">
        <v>663</v>
      </c>
      <c r="X48">
        <v>137</v>
      </c>
      <c r="Y48">
        <v>587</v>
      </c>
      <c r="Z48">
        <v>213</v>
      </c>
      <c r="AA48">
        <v>0.54749999999999899</v>
      </c>
      <c r="AB48">
        <v>0.52890714285714202</v>
      </c>
    </row>
    <row r="49" spans="1:28" x14ac:dyDescent="0.25">
      <c r="A49">
        <v>48</v>
      </c>
      <c r="B49" t="s">
        <v>28</v>
      </c>
      <c r="C49">
        <v>100</v>
      </c>
      <c r="D49">
        <v>20</v>
      </c>
      <c r="E49">
        <v>7</v>
      </c>
      <c r="F49">
        <v>5</v>
      </c>
      <c r="G49">
        <v>5</v>
      </c>
      <c r="H49">
        <v>0.51969696969696899</v>
      </c>
      <c r="I49">
        <v>0.85750000000000004</v>
      </c>
      <c r="J49">
        <v>0.64716981132075402</v>
      </c>
      <c r="K49">
        <v>800</v>
      </c>
      <c r="L49">
        <v>0.59285714285714197</v>
      </c>
      <c r="M49">
        <v>0.20749999999999999</v>
      </c>
      <c r="N49">
        <v>0.30740740740740702</v>
      </c>
      <c r="O49">
        <v>800</v>
      </c>
      <c r="P49">
        <v>0.53249999999999997</v>
      </c>
      <c r="Q49">
        <v>0.55627705627705604</v>
      </c>
      <c r="R49">
        <v>0.53249999999999997</v>
      </c>
      <c r="S49">
        <v>0.47728860936408102</v>
      </c>
      <c r="T49">
        <v>0.55627705627705604</v>
      </c>
      <c r="U49">
        <v>0.53249999999999997</v>
      </c>
      <c r="V49">
        <v>0.47728860936408102</v>
      </c>
      <c r="W49">
        <v>686</v>
      </c>
      <c r="X49">
        <v>114</v>
      </c>
      <c r="Y49">
        <v>634</v>
      </c>
      <c r="Z49">
        <v>166</v>
      </c>
      <c r="AA49">
        <v>0.53249999999999997</v>
      </c>
      <c r="AB49">
        <v>0.51926785714285695</v>
      </c>
    </row>
    <row r="50" spans="1:28" x14ac:dyDescent="0.25">
      <c r="A50">
        <v>49</v>
      </c>
      <c r="B50" t="s">
        <v>28</v>
      </c>
      <c r="C50">
        <v>300</v>
      </c>
      <c r="D50">
        <v>20</v>
      </c>
      <c r="E50">
        <v>3</v>
      </c>
      <c r="F50">
        <v>5</v>
      </c>
      <c r="G50">
        <v>5</v>
      </c>
      <c r="H50">
        <v>0.472053872053872</v>
      </c>
      <c r="I50">
        <v>0.87624999999999997</v>
      </c>
      <c r="J50">
        <v>0.61356673960612695</v>
      </c>
      <c r="K50">
        <v>800</v>
      </c>
      <c r="L50">
        <v>0.139130434782608</v>
      </c>
      <c r="M50">
        <v>0.02</v>
      </c>
      <c r="N50">
        <v>3.4972677595628401E-2</v>
      </c>
      <c r="O50">
        <v>800</v>
      </c>
      <c r="P50">
        <v>0.448125</v>
      </c>
      <c r="Q50">
        <v>0.30559215341823998</v>
      </c>
      <c r="R50">
        <v>0.448125</v>
      </c>
      <c r="S50">
        <v>0.324269708600877</v>
      </c>
      <c r="T50">
        <v>0.30559215341823998</v>
      </c>
      <c r="U50">
        <v>0.448125</v>
      </c>
      <c r="V50">
        <v>0.324269708600877</v>
      </c>
      <c r="W50">
        <v>701</v>
      </c>
      <c r="X50">
        <v>99</v>
      </c>
      <c r="Y50">
        <v>784</v>
      </c>
      <c r="Z50">
        <v>16</v>
      </c>
      <c r="AA50">
        <v>0.448125</v>
      </c>
      <c r="AB50">
        <v>0.49278260869565199</v>
      </c>
    </row>
    <row r="51" spans="1:28" x14ac:dyDescent="0.25">
      <c r="A51">
        <v>50</v>
      </c>
      <c r="B51" t="s">
        <v>28</v>
      </c>
      <c r="C51">
        <v>300</v>
      </c>
      <c r="D51">
        <v>20</v>
      </c>
      <c r="E51">
        <v>5</v>
      </c>
      <c r="F51">
        <v>5</v>
      </c>
      <c r="G51">
        <v>5</v>
      </c>
      <c r="H51">
        <v>0.69329388560157701</v>
      </c>
      <c r="I51">
        <v>0.87875000000000003</v>
      </c>
      <c r="J51">
        <v>0.77508269018743103</v>
      </c>
      <c r="K51">
        <v>800</v>
      </c>
      <c r="L51">
        <v>0.83447098976109202</v>
      </c>
      <c r="M51">
        <v>0.61124999999999996</v>
      </c>
      <c r="N51">
        <v>0.70562770562770505</v>
      </c>
      <c r="O51">
        <v>800</v>
      </c>
      <c r="P51">
        <v>0.745</v>
      </c>
      <c r="Q51">
        <v>0.76388243768133501</v>
      </c>
      <c r="R51">
        <v>0.745</v>
      </c>
      <c r="S51">
        <v>0.74035519790756799</v>
      </c>
      <c r="T51">
        <v>0.76388243768133501</v>
      </c>
      <c r="U51">
        <v>0.745</v>
      </c>
      <c r="V51">
        <v>0.74035519790756799</v>
      </c>
      <c r="W51">
        <v>703</v>
      </c>
      <c r="X51">
        <v>97</v>
      </c>
      <c r="Y51">
        <v>311</v>
      </c>
      <c r="Z51">
        <v>489</v>
      </c>
      <c r="AA51">
        <v>0.745</v>
      </c>
      <c r="AB51">
        <v>0.70444539249146698</v>
      </c>
    </row>
    <row r="52" spans="1:28" x14ac:dyDescent="0.25">
      <c r="A52">
        <v>51</v>
      </c>
      <c r="B52" t="s">
        <v>28</v>
      </c>
      <c r="C52">
        <v>300</v>
      </c>
      <c r="D52">
        <v>20</v>
      </c>
      <c r="E52">
        <v>7</v>
      </c>
      <c r="F52">
        <v>5</v>
      </c>
      <c r="G52">
        <v>5</v>
      </c>
      <c r="H52">
        <v>0.47625418060200603</v>
      </c>
      <c r="I52">
        <v>0.89</v>
      </c>
      <c r="J52">
        <v>0.62047930283224395</v>
      </c>
      <c r="K52">
        <v>800</v>
      </c>
      <c r="L52">
        <v>0.161904761904761</v>
      </c>
      <c r="M52">
        <v>2.1250000000000002E-2</v>
      </c>
      <c r="N52">
        <v>3.75690607734806E-2</v>
      </c>
      <c r="O52">
        <v>800</v>
      </c>
      <c r="P52">
        <v>0.455625</v>
      </c>
      <c r="Q52">
        <v>0.31907947125338398</v>
      </c>
      <c r="R52">
        <v>0.455625</v>
      </c>
      <c r="S52">
        <v>0.32902418180286203</v>
      </c>
      <c r="T52">
        <v>0.31907947125338398</v>
      </c>
      <c r="U52">
        <v>0.455625</v>
      </c>
      <c r="V52">
        <v>0.32902418180286203</v>
      </c>
      <c r="W52">
        <v>712</v>
      </c>
      <c r="X52">
        <v>88</v>
      </c>
      <c r="Y52">
        <v>783</v>
      </c>
      <c r="Z52">
        <v>17</v>
      </c>
      <c r="AA52">
        <v>0.455625</v>
      </c>
      <c r="AB52">
        <v>0.492815476190476</v>
      </c>
    </row>
    <row r="53" spans="1:28" x14ac:dyDescent="0.25">
      <c r="A53">
        <v>52</v>
      </c>
      <c r="B53" t="s">
        <v>28</v>
      </c>
      <c r="C53">
        <v>500</v>
      </c>
      <c r="D53">
        <v>20</v>
      </c>
      <c r="E53">
        <v>3</v>
      </c>
      <c r="F53">
        <v>5</v>
      </c>
      <c r="G53">
        <v>5</v>
      </c>
      <c r="H53">
        <v>0.47494989979959901</v>
      </c>
      <c r="I53">
        <v>0.88875000000000004</v>
      </c>
      <c r="J53">
        <v>0.61906835002176697</v>
      </c>
      <c r="K53">
        <v>800</v>
      </c>
      <c r="L53">
        <v>0.13592233009708701</v>
      </c>
      <c r="M53">
        <v>1.7500000000000002E-2</v>
      </c>
      <c r="N53">
        <v>3.1007751937984399E-2</v>
      </c>
      <c r="O53">
        <v>800</v>
      </c>
      <c r="P53">
        <v>0.453125</v>
      </c>
      <c r="Q53">
        <v>0.305436114948343</v>
      </c>
      <c r="R53">
        <v>0.453125</v>
      </c>
      <c r="S53">
        <v>0.32503805097987598</v>
      </c>
      <c r="T53">
        <v>0.305436114948343</v>
      </c>
      <c r="U53">
        <v>0.453125</v>
      </c>
      <c r="V53">
        <v>0.32503805097987598</v>
      </c>
      <c r="W53">
        <v>711</v>
      </c>
      <c r="X53">
        <v>89</v>
      </c>
      <c r="Y53">
        <v>786</v>
      </c>
      <c r="Z53">
        <v>14</v>
      </c>
      <c r="AA53">
        <v>0.453125</v>
      </c>
      <c r="AB53">
        <v>0.49362864077669899</v>
      </c>
    </row>
    <row r="54" spans="1:28" x14ac:dyDescent="0.25">
      <c r="A54">
        <v>53</v>
      </c>
      <c r="B54" t="s">
        <v>28</v>
      </c>
      <c r="C54">
        <v>500</v>
      </c>
      <c r="D54">
        <v>20</v>
      </c>
      <c r="E54">
        <v>5</v>
      </c>
      <c r="F54">
        <v>5</v>
      </c>
      <c r="G54">
        <v>5</v>
      </c>
      <c r="H54">
        <v>0.69177403369672896</v>
      </c>
      <c r="I54">
        <v>0.87250000000000005</v>
      </c>
      <c r="J54">
        <v>0.77169707020453204</v>
      </c>
      <c r="K54">
        <v>800</v>
      </c>
      <c r="L54">
        <v>0.82741116751268995</v>
      </c>
      <c r="M54">
        <v>0.61124999999999996</v>
      </c>
      <c r="N54">
        <v>0.70309130122214203</v>
      </c>
      <c r="O54">
        <v>800</v>
      </c>
      <c r="P54">
        <v>0.74187499999999995</v>
      </c>
      <c r="Q54">
        <v>0.75959260060470901</v>
      </c>
      <c r="R54">
        <v>0.74187499999999995</v>
      </c>
      <c r="S54">
        <v>0.73739418571333704</v>
      </c>
      <c r="T54">
        <v>0.75959260060471001</v>
      </c>
      <c r="U54">
        <v>0.74187499999999995</v>
      </c>
      <c r="V54">
        <v>0.73739418571333704</v>
      </c>
      <c r="W54">
        <v>698</v>
      </c>
      <c r="X54">
        <v>102</v>
      </c>
      <c r="Y54">
        <v>311</v>
      </c>
      <c r="Z54">
        <v>489</v>
      </c>
      <c r="AA54">
        <v>0.74187499999999995</v>
      </c>
      <c r="AB54">
        <v>0.70013007614213196</v>
      </c>
    </row>
    <row r="55" spans="1:28" x14ac:dyDescent="0.25">
      <c r="A55">
        <v>54</v>
      </c>
      <c r="B55" t="s">
        <v>28</v>
      </c>
      <c r="C55">
        <v>500</v>
      </c>
      <c r="D55">
        <v>20</v>
      </c>
      <c r="E55">
        <v>7</v>
      </c>
      <c r="F55">
        <v>5</v>
      </c>
      <c r="G55">
        <v>5</v>
      </c>
      <c r="H55">
        <v>0.48007968127490003</v>
      </c>
      <c r="I55">
        <v>0.90375000000000005</v>
      </c>
      <c r="J55">
        <v>0.62705984388551606</v>
      </c>
      <c r="K55">
        <v>800</v>
      </c>
      <c r="L55">
        <v>0.180851063829787</v>
      </c>
      <c r="M55">
        <v>2.1250000000000002E-2</v>
      </c>
      <c r="N55">
        <v>3.8031319910514498E-2</v>
      </c>
      <c r="O55">
        <v>800</v>
      </c>
      <c r="P55">
        <v>0.46250000000000002</v>
      </c>
      <c r="Q55">
        <v>0.33046537255234298</v>
      </c>
      <c r="R55">
        <v>0.46250000000000002</v>
      </c>
      <c r="S55">
        <v>0.33254558189801497</v>
      </c>
      <c r="T55">
        <v>0.33046537255234298</v>
      </c>
      <c r="U55">
        <v>0.46250000000000002</v>
      </c>
      <c r="V55">
        <v>0.33254558189801497</v>
      </c>
      <c r="W55">
        <v>723</v>
      </c>
      <c r="X55">
        <v>77</v>
      </c>
      <c r="Y55">
        <v>783</v>
      </c>
      <c r="Z55">
        <v>17</v>
      </c>
      <c r="AA55">
        <v>0.46250000000000002</v>
      </c>
      <c r="AB55">
        <v>0.49321808510638299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6F65FA-1DF6-4283-8C94-EC5840F27F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average performance by top_k</vt:lpstr>
      <vt:lpstr>avg train_samples</vt:lpstr>
      <vt:lpstr>top_k  + train_samples</vt:lpstr>
      <vt:lpstr>Standard Deviation</vt:lpstr>
      <vt:lpstr>Linux.W60.S30_test_runs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Ganzha</cp:lastModifiedBy>
  <dcterms:created xsi:type="dcterms:W3CDTF">2026-05-03T06:51:13Z</dcterms:created>
  <dcterms:modified xsi:type="dcterms:W3CDTF">2026-05-03T07:31:22Z</dcterms:modified>
</cp:coreProperties>
</file>